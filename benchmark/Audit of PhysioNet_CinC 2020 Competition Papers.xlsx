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  <sheet state="visible" name="Calc_Data" sheetId="3" r:id="rId7"/>
    <sheet state="visible" name="Dashboard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<sst xmlns="http://schemas.openxmlformats.org/spreadsheetml/2006/main" count="817" uniqueCount="559">
  <si>
    <t>Paper ID / Title / Authors</t>
  </si>
  <si>
    <t>Core Paradigm</t>
  </si>
  <si>
    <t>Base Model / Backbone</t>
  </si>
  <si>
    <t>Key Technical Novelty</t>
  </si>
  <si>
    <t>Training / Optimization Protocol</t>
  </si>
  <si>
    <t>Data Strategy &amp; Volume</t>
  </si>
  <si>
    <t>Primary Benchmark Metrics</t>
  </si>
  <si>
    <t>Operational Metrics</t>
  </si>
  <si>
    <t>Ablation Proof</t>
  </si>
  <si>
    <t>Hardware &amp; Framework Stack</t>
  </si>
  <si>
    <t>Core Limitation / Failure Mode</t>
  </si>
  <si>
    <t>Competition Edge Factor</t>
  </si>
  <si>
    <t>Source</t>
  </si>
  <si>
    <t>Classification of 12-lead ECGs: the PhysioNet/CiC 2020; Perez Alday et al.</t>
  </si>
  <si>
    <t>Meta-analysis / Hybrid ML</t>
  </si>
  <si>
    <t>Various (CNNs dominant; RF/MLR baselines)</t>
  </si>
  <si>
    <t>Novel clinical reward matrix  $W$  awarding partial credit for similar misdiagnoses; Mandated open-source training code for scientific validity.</t>
  </si>
  <si>
    <t>Median training: 6h 49m; 72h limit; Docker containerization; Support for Python/MATLAB.</t>
  </si>
  <si>
    <t>66,361 recordings (43,101 public); 111 classes (27 scored); Multi-institutional (6 systems).</t>
  </si>
  <si>
    <t>Max Score: 1.0; Inactive Score: 0.0; Top participant  $S_{normalized}$ : 0.533.</t>
  </si>
  <si>
    <t>8 vCPUs, 64 GB RAM, NVIDIA T4; Inference: 2 vCPUs, 13 GB RAM.</t>
  </si>
  <si>
    <t>50% average score drop from validation to hidden test set proved high risk of over-training on single-source data.</t>
  </si>
  <si>
    <t>Google Cloud; NVIDIA T4; PyTorch; TensorFlow; MATLAB.</t>
  </si>
  <si>
    <t>Sensitivity to sampling frequency; Performance drop (10%+) on hidden data; Class imbalance.</t>
  </si>
  <si>
    <t>Established first repeatable body of ECG research by mandating full training framework reproducibility.</t>
  </si>
  <si>
    <t>1, 2</t>
  </si>
  <si>
    <t>CinC2020-189; ECG Abnormalities Recognition...; Vicar et al.</t>
  </si>
  <si>
    <t>Deep Learning (CNN)</t>
  </si>
  <si>
    <t>Modified 1D-ResNet (6 blocks)</t>
  </si>
  <si>
    <t>Binary Units Training Technique (BUTT); Global skip connections from input to deep layers; Custom differentiable Challenge Metric (CM) loss.</t>
  </si>
  <si>
    <t>Adam; Two-cycle LR schedule ( $10^{-3}$ ); CM Loss; Stochastic Weight Averaging (SWA); Bayesian threshold optimization.</t>
  </si>
  <si>
    <t>43,101 recordings; 125 Hz resampling;  $\pm 10\%$  temporal stretch &amp;  $\pm 20\%$  voltage amplification ( $p=0.8$ ).</t>
  </si>
  <si>
    <t>Validation CM: 0.696; Full Test CM: 0.202; Dice Coefficient: 0.571.</t>
  </si>
  <si>
    <t>Batch size: 32; Ensemble of 3 models; Real-time inference capability.</t>
  </si>
  <si>
    <t>CM Loss increased DC by 0.02; Augmentation increased DC by 0.01; Wide filter variants ( $n=48$ ) outperformed deeper models.</t>
  </si>
  <si>
    <t>Python; Bayesian Optimization library; Not in source.</t>
  </si>
  <si>
    <t>Poor generalization to different data sources; High performance drop on low-frequency classes (PVC, PAC, Brady).</t>
  </si>
  <si>
    <t>Achieved 1st place in validation by aligning the loss function directly with the competition's scoring metric.</t>
  </si>
  <si>
    <t>3</t>
  </si>
  <si>
    <t>CinC2020-281; Classification of Cardiac Abnormalities...; Zhu et al.</t>
  </si>
  <si>
    <t>Hybrid DL and Rule-based</t>
  </si>
  <si>
    <t>SE-ResNet (Squeeze-and-Excitation)</t>
  </si>
  <si>
    <t>Multi-label Sign Loss to weight mis-classified labels; 10s/30s segment ensemble; Rule-based bradycardia correction.</t>
  </si>
  <si>
    <t>Adam ( $LR=10^{-3} \rightarrow 10^{-4}$ ); 19 epochs; Threshold: 0.36; Wavelet denoising (biorthogonal).</t>
  </si>
  <si>
    <t>43,101 signals; CPSC relabeling; Hefei external validation set (6,500 records).</t>
  </si>
  <si>
    <t>Validation: 0.682; Full Test: 0.514; Offline 20% test: 0.683.</t>
  </si>
  <si>
    <t>10s and 30s segment inference; 117 GB RAM footprint; 1x NVIDIA V100.</t>
  </si>
  <si>
    <t>Ensemble of 10s/30s models (+0.006); Adding rule-based module (+0.003 gain).</t>
  </si>
  <si>
    <t>PyTorch; NVIDIA V100 GPU; 117 GB RAM; 4-core CPU.</t>
  </si>
  <si>
    <t>Rule-based module had low precision due to sub-optimal labels; U-Net segmentation failed to improve scores.</t>
  </si>
  <si>
    <t>Ranked 3rd overall by combining dual-segment deep learning with clinical domain knowledge and custom loss.</t>
  </si>
  <si>
    <t>4</t>
  </si>
  <si>
    <t>CinC2020-445; Adversarial Multi-Source Domain Generalization; Hasani et al.</t>
  </si>
  <si>
    <t>Hybrid CNN-LSTM</t>
  </si>
  <si>
    <t>Parallel CNN (Fine/Coarse Kernels) + Bi-LSTM</t>
  </si>
  <si>
    <t>Adversarial Domain Generalization via Gradient Reversal Layer (GRL); Domain-specific masks to prevent out-of-domain punishment.</t>
  </si>
  <si>
    <t>Weighted BCE loss based on reward matrix; Gradient Reversal for domain classifier; 5-fold CV; Grid search for thresholds.</t>
  </si>
  <si>
    <t>43,101 signals (27 scored classes); 250 Hz resampling; Lead dropout/shuffling/inversion augmentations.</t>
  </si>
  <si>
    <t>Validation: 0.609; Full Test: 0.437; 5-fold CV: 0.629  $\pm$  0.003; AUROC: 0.64.</t>
  </si>
  <si>
    <t>Not in source.</t>
  </si>
  <si>
    <t>Multi-source domain generalization improved score from 0.343 to 0.352; Parallel CNN outperformed single-kernel CNNs.</t>
  </si>
  <si>
    <t>PyTorch; Cloud-training.</t>
  </si>
  <si>
    <t>Resource limits prevented use of records with unscored labels; 17% validation-to-test performance gap.</t>
  </si>
  <si>
    <t>Ranked 5th by specifically addressing data heterogeneity and domain shifts inherent in multi-source clinical data.</t>
  </si>
  <si>
    <t>5</t>
  </si>
  <si>
    <t>CinC2020-328; Bag of Tricks for ECG Classification...; Min et al.</t>
  </si>
  <si>
    <t>Wide ResNet (WRN-18-2)</t>
  </si>
  <si>
    <t>Confusion Weighted BCE (CoW-BCE) down-weighting similar-risk misdiagnoses; Manifold Mixup for variable-length hidden representations.</t>
  </si>
  <si>
    <t>100 epochs; Adam;  $10^{-3}$  LR with warmup/cosine annealing; L2 decay: 0.0005; Batch size 128.</t>
  </si>
  <si>
    <t>37,619 recordings; 10-fold CV iterative stratification; 50/60Hz notch filters; 500 Hz resampling.</t>
  </si>
  <si>
    <t>Challenge Score: 0.695 (CV), 0.420 (Full Test);  $F_{2}$ : 0.696;  $G_{2}$ : 0.448.</t>
  </si>
  <si>
    <t>Barely changed computational complexity over standard WRN.</t>
  </si>
  <si>
    <t>LR scheduler (+0.055), CoW-BCE (+0.028), and Class-specific thresholds (+0.018) provided substantial gains.</t>
  </si>
  <si>
    <t>PyTorch; NVIDIA V100 GPU; HPC Support (NIPA).</t>
  </si>
  <si>
    <t>Significant performance variance across databases (DB1: 0.688 vs DB3: 0.228).</t>
  </si>
  <si>
    <t>Placed 6th by systematically stacking architecture tweaks and a domain-specific loss function tailored to the reward matrix.</t>
  </si>
  <si>
    <t>6</t>
  </si>
  <si>
    <t>CinC2020-253; Pre-trained Exponentially Dilated Causal CNN; Bos et al.</t>
  </si>
  <si>
    <t>Causal CNN</t>
  </si>
  <si>
    <t>Custom 1D Dilated Causal CNN (7 blocks)</t>
  </si>
  <si>
    <t>First use of exponentially dilated causal convolutions for ECG to capture long-range patterns without future-point leakage.</t>
  </si>
  <si>
    <t>Weighted focal loss ( $\gamma=2$ ); Adam; LR: 0.001; 10-fold iterative stratification; Pre-training followed by fine-tuning.</t>
  </si>
  <si>
    <t>Pre-trained on 254,044 physician-annotated ECGs (UMCU); Fine-tuned on 42,511 Challenge ECGs.</t>
  </si>
  <si>
    <t>Challenge Score: 0.417 (Test), 0.565 (CV); AUROC: 0.915 (Test), 0.939 (CV).</t>
  </si>
  <si>
    <t>Variable input length support; Receptive field: 766ms (383 points at 500 Hz).</t>
  </si>
  <si>
    <t>Pre-training improved metric from 0.542 to 0.565; identified 5 frozen blocks as optimal for transfer.</t>
  </si>
  <si>
    <t>PyTorch (1.3); NVIDIA Titan Xp; Python (3.7).</t>
  </si>
  <si>
    <t>Poor performance on rare classes (T-wave inversion, PVC); utilized only first 10 seconds of data.</t>
  </si>
  <si>
    <t>Ranked 7th by leveraging a massive (1.2M+) private pre-training dataset to enhance model robustness.</t>
  </si>
  <si>
    <t>7</t>
  </si>
  <si>
    <t>CinC2020-161; Impact of Neural Architecture Design...; Fayyazifar et al.</t>
  </si>
  <si>
    <t>Hybrid CNN-RNN / NAS</t>
  </si>
  <si>
    <t>Custom 49-layer RCNN (CNN + Bi-LSTM); DARTS</t>
  </si>
  <si>
    <t>16-block ResNet-like 1D CNN with Bi-LSTM (300 units); DARTS search space adapted for 1D ECG waveforms.</t>
  </si>
  <si>
    <t>RCNN: Adam; LR  $10^{-3}$ ; NAS: SGD; Cosine annealing; Early stopping (15 epochs).</t>
  </si>
  <si>
    <t>37,619 samples; 10s truncation; Db1 Wavelet decomposition (approximation coefficients) for specific variants.</t>
  </si>
  <si>
    <t>RCNN: 62.3% (Val), 38.2% (Full Test); NAS: 64.4% (CV - no test score).</t>
  </si>
  <si>
    <t>RCNN Training: 250 min (1080 Ti); NAS Search: 50 min/epoch (RTX 8000).</t>
  </si>
  <si>
    <t>Bi-LSTM added 2.7% gain over pure CNN; Wavelet preprocessing added 1% gain; NAS outperformed hand-designed RCNN by 2.5% in CV.</t>
  </si>
  <si>
    <t>PyTorch; NVIDIA 1080 Ti / RTX 8000.</t>
  </si>
  <si>
    <t>NAS model failed to receive official scores due to submission issues; High training time for NAS (20 hours).</t>
  </si>
  <si>
    <t>Achieved 9th place with hand-designed RCNN while proving automated NAS can further boost performance.</t>
  </si>
  <si>
    <t>8</t>
  </si>
  <si>
    <t>CinC2020-171; Cardiac Pathologies Detection and Classification...; Smisek et al.</t>
  </si>
  <si>
    <t>Rule-based and Decision Trees</t>
  </si>
  <si>
    <t>Feature-extraction Ensemble</t>
  </si>
  <si>
    <t>Segment averaging based on QRS clustering; Merged medical-standard definitions (e.g., Strauss for LBBB) with data-driven trees.</t>
  </si>
  <si>
    <t>5-fold CV; PQ interval threshold  $\ge 205$  ms; HR thresholds (&lt;60 or &gt;100 bpm).</t>
  </si>
  <si>
    <t>6 sub-databases; Excluding 4 pathologies with vague definitions (Brady, LQT, QAb, TInv).</t>
  </si>
  <si>
    <t>Challenge Score: 0.435 (Val), 0.354 (Full Test); AF  $F_{1}$ : 0.83; LBBB  $F_{1}$ : 0.697.</t>
  </si>
  <si>
    <t>Excluded 4 pathologies (LQT, QAb, Brady, TInv) that reduced overall performance due to low classification success.</t>
  </si>
  <si>
    <t>Vague definitions of AFL/NSIVCB led to poor-quality features; Inconsistent bpm thresholds across databases.</t>
  </si>
  <si>
    <t>High interpretability; Ranked 11th despite avoiding deep learning by using medical-standard definitions.</t>
  </si>
  <si>
    <t>9</t>
  </si>
  <si>
    <t>CinC2020-417; CRNN and LightGBM Ensemble...; Zisou et al.</t>
  </si>
  <si>
    <t>Ensemble (DL + GBDT)</t>
  </si>
  <si>
    <t>Hybrid: 1D-CRNN and LightGBM</t>
  </si>
  <si>
    <t>Class-specific ensemble merging using Genetic Algorithm (GA) to tune weights and thresholds for 24 abnormalities.</t>
  </si>
  <si>
    <t>SMOTE + under-sampling; LightGBM: Bayesian Optimization; CRNN: Adam; Xavier init; Self-attention.</t>
  </si>
  <si>
    <t>24 target classes; 3rd order Butterworth/Notch filtering; 500 Hz resampling; 5-fold iterative stratification.</t>
  </si>
  <si>
    <t>5-fold CV: 0.593; Hidden Test: 0.281; Ensemble AUROC: 0.946 (vs CRNN 0.908, LGBM 0.935).</t>
  </si>
  <si>
    <t>Ensemble (0.593) outperformed individual CRNN (0.511) and LightGBM (0.549); SMOTE+BO improved LGBM AUROC by 0.015.</t>
  </si>
  <si>
    <t>LightGBM; PyTorch/TensorFlow (implied); Python.</t>
  </si>
  <si>
    <t>CRNN cannot easily benefit from domain adjustments; Lacks segmentation for locating regions in long recordings.</t>
  </si>
  <si>
    <t>Ranked 13th by combining automated deep features with expert-engineered features via GA-optimized weighting.</t>
  </si>
  <si>
    <t>10</t>
  </si>
  <si>
    <t>Cardiac Abnormality Detection... Data Augmentation; Weber et al.</t>
  </si>
  <si>
    <t>Custom ResNet-inspired</t>
  </si>
  <si>
    <t>Global max-pooling for signal length independence; Removal of intermediate pooling/BatchNorm to handle individual forwarding.</t>
  </si>
  <si>
    <t>Adam ( $10^{-4}$ ); BCE loss; Batch size 64 (gradient accumulation); ELU activation; Threshold 0.071.</t>
  </si>
  <si>
    <t>43,101 signals; Augmentations: Signal Slicing, CutOut (35%), Channel Shifting, Gaussian Noise ( $20 \mu V$ ), Dropout (50%).</t>
  </si>
  <si>
    <t>Validation: 0.656; Full Test: 0.270; AUROC: 0.947; Challenge Metric: 0.611.</t>
  </si>
  <si>
    <t>Training: ~12h per model.</t>
  </si>
  <si>
    <t>Data augmentation improved AUROC (0.943  $\rightarrow$  0.947) and Challenge Metric (0.602  $\rightarrow$  0.611); Ensemble improved result to 0.642.</t>
  </si>
  <si>
    <t>PyTorch; Tesla K40 GPU (AWS).</t>
  </si>
  <si>
    <t>High discrepancy between validation (0.656) and test (0.270) scores; BatchNorm issues with varying lengths.</t>
  </si>
  <si>
    <t>Ranked 15th by using global max-pooling for native length independence and a robust suite of 1D augmentations.</t>
  </si>
  <si>
    <t>11</t>
  </si>
  <si>
    <t>Multi-label Arrhythmia Classification...; Hsu et al.</t>
  </si>
  <si>
    <t>Machine Learning (Ensemble)</t>
  </si>
  <si>
    <t>Boosting Classifier (Best); RF; AlexNet; LSTM</t>
  </si>
  <si>
    <t>Cache-inspired 12-lead heartbeat selection (LRU/SSIM rule); Physiology-inspired amplitude and timing maps.</t>
  </si>
  <si>
    <t>5-fold CV; Binary classification for 27 classes; Random sampling for class balance.</t>
  </si>
  <si>
    <t>Georgia, CPSC, PTB-XL; 1-second representative heartbeat segmentation.</t>
  </si>
  <si>
    <t>Official Score: 0.406; Full Test: 0.244; 5-fold CV: 0.402.</t>
  </si>
  <si>
    <t>Total Runtime: 1:55:00; Inference adaptable to lengths &gt; 20s.</t>
  </si>
  <si>
    <t>Proved timing-deviated arrhythmias favor timing features, while waveform arrhythmias favor amplitude maps.</t>
  </si>
  <si>
    <t>DL models (CNN/RNN) were prone to overfitting; Poor performance on PTB dataset ( $Score: -2.589$ ).</t>
  </si>
  <si>
    <t>Ranked 16th by using an interpretable, feature-engineered approach that outperformed complex DL architectures in robustness.</t>
  </si>
  <si>
    <t>12</t>
  </si>
  <si>
    <t>CinC2020-225; A Bio-toolkit for Multi-Cardiac Abnormality...; Kirodiwal et al.</t>
  </si>
  <si>
    <t>Deep Learning (CNN+LSTM)</t>
  </si>
  <si>
    <t>Custom 1D-CNN (2 layers) + LSTM (2 layers)</t>
  </si>
  <si>
    <t>Subject-wise averaged cardiac cycle templates extracted from Lead II; Template-swapping normalization.</t>
  </si>
  <si>
    <t>Adam; LR: 0.005; BCE loss; Batch size 256; 1000 epochs; Class-specific threshold optimizer.</t>
  </si>
  <si>
    <t>43,101 recordings; Lead II template extraction (400 samples/cycle); 64/16/20 split.</t>
  </si>
  <si>
    <t>Validation: 0.337; Test Score: 0.258; Macro AUROC: 0.498.</t>
  </si>
  <si>
    <t>Low complexity suitable for real-time.</t>
  </si>
  <si>
    <t>Threshold optimizer improved Challenge metric from 0.314 to 0.337.</t>
  </si>
  <si>
    <t>Keras; Python.</t>
  </si>
  <si>
    <t>Poor performance on biased data; Validation and test AUROC remained near chance levels ( $\sim 0.498$ ).</t>
  </si>
  <si>
    <t>Placed 16th by focusing on high-signal Lead II templates and class-specific threshold optimization.</t>
  </si>
  <si>
    <t>13</t>
  </si>
  <si>
    <t>CinC2020-282; MADNN: A Multi-scale Attention Deep Neural Network; Duan et al.</t>
  </si>
  <si>
    <t>ResNeXt (1D-modified) stem + 4 Multi-scale modules</t>
  </si>
  <si>
    <t>Sequential combination of SE (kernel-wise) and SK (branch-wise) attention; Kernel size reduced ( $7 \rightarrow 3$ ) to preserve high-frequency features.</t>
  </si>
  <si>
    <t>Adam; Focal Loss; Dropout (0.1); LR decay ( $0.5 \times$ ); Early stopping.</t>
  </si>
  <si>
    <t>43,134 samples; 500 Hz resampling; 60s padding/truncation; Augmentation: random cropping.</t>
  </si>
  <si>
    <t>Validation: 0.446; Full Test: 0.236 (Ranked 18th).</t>
  </si>
  <si>
    <t>Individual MADNN optimized for ECG machine deployment; Low inference speed for ensemble.</t>
  </si>
  <si>
    <t>Reduced kernel size prevents suppression of high-frequency features; Ensemble increased CV score by 0.6 over standalone model.</t>
  </si>
  <si>
    <t>High model complexity for ensemble; high-frequency feature suppression if using standard image kernels.</t>
  </si>
  <si>
    <t>Hybrid combination of SE and SK attention modules enables morphological feature focus across multiple scales.</t>
  </si>
  <si>
    <t>14</t>
  </si>
  <si>
    <t>CinC2020-363; Gradient Boosting on Domain-Specific/Agnostic Features; Uguz et al.</t>
  </si>
  <si>
    <t>Machine Learning (GBDT)</t>
  </si>
  <si>
    <t>XGBoost</t>
  </si>
  <si>
    <t>Beat-to-beat correlation analysis; Pearson correlation between heartbeats and median beat in XYZ leads to isolate 'dissonant' beats.</t>
  </si>
  <si>
    <t>One-vs-Rest; Binary class weighting; Optimized  $\gamma$ , min_child_weight, max_depth; Threshold optimization.</t>
  </si>
  <si>
    <t>12-lead ECG; Kors transformation to XYZ leads; Dataset segmentation; 10-fold CV and leave-one-dataset-out.</t>
  </si>
  <si>
    <t>Validation: 0.576; Full Test: 0.233; AUROC: 0.822;  $F_{measure}$ : 0.298.</t>
  </si>
  <si>
    <t>Total runtime: 101h 28m.</t>
  </si>
  <si>
    <t>Leave-one-dataset-out strategy proved PTB dataset as a specific performance bottleneck for generalization.</t>
  </si>
  <si>
    <t>Python; XGBoost; BioSPPy; NeuroKit2.</t>
  </si>
  <si>
    <t>Limited generalization (negative score on PTB); Independent binary decisions ignore inter-diagnosis dependencies.</t>
  </si>
  <si>
    <t>Rank 19th by combining domain-specific waveform features with unique beat-to-beat correlation analysis.</t>
  </si>
  <si>
    <t>15</t>
  </si>
  <si>
    <t>CinC2020-138; Automated Classification... Wavelet Analysis; Demonbreun et al.</t>
  </si>
  <si>
    <t>Deep Learning / Image-based</t>
  </si>
  <si>
    <t>Modified SqueezeNet (18 layers)</t>
  </si>
  <si>
    <t>Lead-specific model creation (12 unique models); CWT scalogram conversion; Lead-based voting scheme (4-vote threshold).</t>
  </si>
  <si>
    <t>Transfer Learning; SGDM; LR:  $3 \times 10^{-4}$ ; Mini-batch: 10; 60% dropout in last layers.</t>
  </si>
  <si>
    <t>Reduced to 76 codes; 10 signals per arrhythmia (balanced strategy); Scalogram conversion.</t>
  </si>
  <si>
    <t>Validation: 0.214; Full Test: 0.205; Training Accuracy: 83-98%.</t>
  </si>
  <si>
    <t>Model size &lt; 0.5 MB; Fast training due to SqueezeNet architecture.</t>
  </si>
  <si>
    <t>Voting scheme (min 4 leads) confirmed to increase diagnosis confidence over single-lead models.</t>
  </si>
  <si>
    <t>MATLAB R2020a; Deep Learning Toolbox.</t>
  </si>
  <si>
    <t>Limited training volume (10 signals per class) due to compute power; Low clinical viability at current accuracy.</t>
  </si>
  <si>
    <t>Placed 20th by utilizing a lightweight, memory-efficient ensemble of lead-specific image classifiers.</t>
  </si>
  <si>
    <t>16</t>
  </si>
  <si>
    <t>CinC2020-198; ECG Classification With a CRNN; Sigurthorsdottir et al.</t>
  </si>
  <si>
    <t>Deep Learning (CRNN)</t>
  </si>
  <si>
    <t>15-layer CNN + Bi-GRU</t>
  </si>
  <si>
    <t>sliding window feature extraction combined with Bi-GRU temporal aggregation and attention; Test Time Augmentation (TTA).</t>
  </si>
  <si>
    <t>Nadam ( $10^{-4}$ ); BCE loss; 350 epochs; Dropout: 0.1 (conv), 0.7 (recurrent); Threshold optimization (0.3).</t>
  </si>
  <si>
    <t>80/20 split; 257 Hz resampling; High-pass filter (0.5 Hz); Random offset augmentation.</t>
  </si>
  <si>
    <t>Validation Score: 0.511; Full Test: 0.167; Local Validation (optimized): 0.573.</t>
  </si>
  <si>
    <t>Batch size: 8 (hardware limited); Resampling to 257 Hz.</t>
  </si>
  <si>
    <t>Skip connections (+0.1); TTA (+0.0002 to 0.02); Threshold optimization (+0.2 validation score).</t>
  </si>
  <si>
    <t>TensorFlow 2.2.0.</t>
  </si>
  <si>
    <t>Hardware limited model depth; Significant performance drop (0.511 to 0.167); Class imbalance remained unresolved.</t>
  </si>
  <si>
    <t>Ranked 24th; Highly sensitive to threshold optimization which provided massive gains despite overfitting.</t>
  </si>
  <si>
    <t>17</t>
  </si>
  <si>
    <t>CinC2020-356; ECG Segmentation... Basis for Detection; Sodmann et al.</t>
  </si>
  <si>
    <t>Two-step: CNN + XGBoost</t>
  </si>
  <si>
    <t>Custom UNet-like + XGBoost</t>
  </si>
  <si>
    <t>Human-interpretable outputs; Wave segmentation (P, QRS, T) used to calculate clinical features (PQ time, R-amplitude).</t>
  </si>
  <si>
    <t>Ranger Optimizer; 200 epochs; Cosine annealing; Tversky loss (segmentation) &amp; Categorical cross-entropy.</t>
  </si>
  <si>
    <t>573 training samples; Preprocessing: 500 Hz resampling, Bandpass (0.05-42 Hz), Wavelet (Db4).</t>
  </si>
  <si>
    <t>Challenge Metric: 0.136 (Rank 28th); R-Peak  $F_{1}$ : 0.943; AF  $F_{1}$ : 0.87.</t>
  </si>
  <si>
    <t>Accepts any signal length; Time dimension reduced to 1/16th; 50% Dropout.</t>
  </si>
  <si>
    <t>Tversky loss found superior to Dice/Focal/Cross-entropy for proper segmentation boundaries.</t>
  </si>
  <si>
    <t>Python; FastAPI; PyTorch.</t>
  </si>
  <si>
    <t>Labels provided for 6 classes while model trained on 24; Discrepancy created false positives.</t>
  </si>
  <si>
    <t>Utilizes clinical interpretability via wave component segmentation, though underperformed end-to-end DL.</t>
  </si>
  <si>
    <t>18</t>
  </si>
  <si>
    <t>CinC2020-462; Hybrid Scattering-LSTM Networks; Warrick et al.</t>
  </si>
  <si>
    <t>Hybrid DSP &amp; Deep Learning</t>
  </si>
  <si>
    <t>Scattering-DSC-BiLSTM</t>
  </si>
  <si>
    <t>Pure Python Scattering Transform; Integration of wavelet filters (ST) with learnable DSC and BiLSTM for stability.</t>
  </si>
  <si>
    <t>Adam; BCE loss; 10-fold CV; Threshold: 0.5; Composite training on CPSC/PTB-XL.</t>
  </si>
  <si>
    <t>32,167 recordings (75% of total); 90/10 split; Padding; Truncation at 30s.</t>
  </si>
  <si>
    <t>Mean 10-fold CV Score: 0.536  $\pm$  0.012; Validation: 0.540  $\pm$  0.016.</t>
  </si>
  <si>
    <t>18h training/fold; ST discretized at 8Hz Nyquist rate; 2x 12GB GPUs.</t>
  </si>
  <si>
    <t>Failed to converge on Georgia dataset without proper scaling;  $asinh$  nonlinearity improved Gaussianity for classification.</t>
  </si>
  <si>
    <t>Keras/TensorFlow; Kymatio; 2x 12GB GPUs.</t>
  </si>
  <si>
    <t>Failed to converge on specific datasets; failed to submit Docker container for hidden test; 30s truncation.</t>
  </si>
  <si>
    <t>Strong theoretical stability against time warps via Scattering Transform, but failed hidden test due to deployment.</t>
  </si>
  <si>
    <t>19</t>
  </si>
  <si>
    <t>Classification... 1D-CNN with Class Dependent Threshold; Pardasani et al.</t>
  </si>
  <si>
    <t>Custom 1D-CNN (24 parallel branches)</t>
  </si>
  <si>
    <t>Class-dependent thresholds optimized via ROC curves; 24 identical parallel branches handle multi-label without separate training.</t>
  </si>
  <si>
    <t>Adam ( $10^{-4}$ ); Cross-entropy;  $L_{1}$ / $L_{2}$  regularization ( $10^{-7}$ ); Dropout (0.3); 100 epochs.</t>
  </si>
  <si>
    <t>37,619 samples; 10,000 sample trim/pad (20s at 500Hz); Conversion to physical units ( $mV$ ).</t>
  </si>
  <si>
    <t>Validation: 0.342; Full Test Score: 0.077; AUROC: 0.599.</t>
  </si>
  <si>
    <t>Training: ~210s/epoch; 3.8M parameters; Single run sufficient for multi-label.</t>
  </si>
  <si>
    <t>Claimed focusing only on 27 scored diagnoses simplified model complexity while maintaining performance.</t>
  </si>
  <si>
    <t>Linux; Intel Xeon; TITAN RTX; Keras/TensorFlow.</t>
  </si>
  <si>
    <t>Low test score (0.077) due to time constraints for tuning; Ranked 32nd.</t>
  </si>
  <si>
    <t>Simple, parallelizable architecture with individual threshold optimization for real-time classification.</t>
  </si>
  <si>
    <t>20</t>
  </si>
  <si>
    <t>CinC2020-135; Diagnostic of Multiple Cardiac Disorders... GCN; Jiang et al.</t>
  </si>
  <si>
    <t>Hybrid CNN-GRU-GCN</t>
  </si>
  <si>
    <t>16-block ResNet + Bi-GRU</t>
  </si>
  <si>
    <t>Label dependency modeling via Graph Convolutional Network (GCN) with a conditional probability correlation matrix.</t>
  </si>
  <si>
    <t>Adam SGD; 100 epochs;  $LR=0.001$ ; Batch size 32; Dropout 0.2; Weight random initialization.</t>
  </si>
  <si>
    <t>43,135 recordings; 500 Hz resampling; Zero-padding to 18s; 5-fold CV.</t>
  </si>
  <si>
    <t>Challenge Metric: 0.627 (CV), 0.395 (Val), -0.012 (Test).</t>
  </si>
  <si>
    <t>1 prediction every 512 samples; Sampling rate 500 Hz.</t>
  </si>
  <si>
    <t>GCN + class-aware loss improved metric from 0.582 to 0.627; Res-Blocks improved score by 0.051 over baseline.</t>
  </si>
  <si>
    <t>Significant drop from Validation (0.395) to Test (-0.012); Ranked 34th.</t>
  </si>
  <si>
    <t>Innovatively uses GCN to model inter-class label dependencies instead of treating them as mutually exclusive.</t>
  </si>
  <si>
    <t>21</t>
  </si>
  <si>
    <t>CinC2020-339; Detection... Using Deep Convolutional Neural Networks; Sallem et al.</t>
  </si>
  <si>
    <t>Deep 1D CNN</t>
  </si>
  <si>
    <t>VGG-ECG (13-layer fully CNN)</t>
  </si>
  <si>
    <t>1x3 receptive fields for temporal scanning; Class weights for imbalance; Custom threshold selection (0.2).</t>
  </si>
  <si>
    <t>ADAM ( $10^{-3}$ ); BCE loss; Dropout 0.3; Early Stopping; 21 training steps.</t>
  </si>
  <si>
    <t>37,794 scored signals; 3/4 training split; 3000 sample truncation; 100 Hz downsampling.</t>
  </si>
  <si>
    <t>Validation Score: 0.368; Full Test: -0.128; Validation Accuracy: 0.54.</t>
  </si>
  <si>
    <t>Training: 2.5h; 100 Hz downsampling used to standardize frequency.</t>
  </si>
  <si>
    <t>100 Hz downsampling outperformed 50/150 Hz ( $S=0.47$ ); Zero padding outperformed repetition ( $S=0.77$  vs 0.74).</t>
  </si>
  <si>
    <t>Python 3.7; TensorFlow 2.3; Tesla T4 GPU.</t>
  </si>
  <si>
    <t>Poor sensitivity for minority classes; Negative score on hidden test set; Ranking 38th.</t>
  </si>
  <si>
    <t>Lightweight VGG-inspired design with optimized downsampling, but suffered from poor generalization.</t>
  </si>
  <si>
    <t>22</t>
  </si>
  <si>
    <t>CinC2020-148; Multi-Stream DNN For ECG Classification; Baumgartner et al.</t>
  </si>
  <si>
    <t>Hybrid: MLP + CNN</t>
  </si>
  <si>
    <t>Custom Multi-stream (CNN + Bi-GRU + MLP)</t>
  </si>
  <si>
    <t>Multi-stream concatenation of manually extracted features (MLP stream) with raw signals (CNN stream).</t>
  </si>
  <si>
    <t>Adam; BCE loss; 200-500 epochs; Ensemble majority voting for unknown sources; Leaky ReLU.</t>
  </si>
  <si>
    <t>43,101 samples; Rare labels (&lt;1%) removed; Butterworth bandpass (0.1-30 Hz).</t>
  </si>
  <si>
    <t>Test Score: -0.290; Validation: 0.403; Offline weighted average: 0.612.</t>
  </si>
  <si>
    <t>MLP stream estimated at 11.8% of combined effort.</t>
  </si>
  <si>
    <t>Combined model (0.612) outperformed features-only (0.608) and signals-only (0.571).</t>
  </si>
  <si>
    <t>MLP stream dominated the network, preventing CNN from learning; technical difficulties during submission led to rank 39th.</t>
  </si>
  <si>
    <t>Demonstrates that adding low-compute classical features improves DNN robustness in most ECG datasets.</t>
  </si>
  <si>
    <t>23</t>
  </si>
  <si>
    <t>Prediction of Apnoea... Using a Neural Network Classifier; de Chazal et al.</t>
  </si>
  <si>
    <t>Neural Network (FFNN)</t>
  </si>
  <si>
    <t>Bank of 10 FFNNs (Single hidden layer, 20 units)</t>
  </si>
  <si>
    <t>Three-class arousal detection (apnoea, non-apnoea, no-arousal); 15s window with 59 time/frequency features.</t>
  </si>
  <si>
    <t>10-fold CV; Cross-entropy; Outputs averaged across 10-classifier bank; First-order hold filter for upsampling.</t>
  </si>
  <si>
    <t>PhysioNet 2018 (994 PSG recordings); Features include  $SpO_{2}$  hypoxic burden and relative band energy.</t>
  </si>
  <si>
    <t>Two-class: AUROC 0.91, AUPRC 0.74; Three-class: VUROS 0.75.</t>
  </si>
  <si>
    <t>Annotation output at 200 Hz; 15-second epoch processing; 59 total features.</t>
  </si>
  <si>
    <t>FFNN outperformed LDA (VUROS 0.75 vs 0.68); 15s epoch and 4-epoch look-ahead/back was optimal.</t>
  </si>
  <si>
    <t>Non-apnoea arousals harder to detect (69% sens) due to heterogeneity; High feature correlation (531 total).</t>
  </si>
  <si>
    <t>Differentiates between apnoea and non-apnoea triggers using standard hand-crafted PSG features.</t>
  </si>
  <si>
    <t>24</t>
  </si>
  <si>
    <t>CinC2020-285; Multi-Label Classification... Class-Wise Attention; Liu et al.</t>
  </si>
  <si>
    <t>Custom 1D-CNN (9 residual blocks)</t>
  </si>
  <si>
    <t>Class-wise attention using one-hot class encodings as queries ( $Q$ ) to harmonize class divergence.</t>
  </si>
  <si>
    <t>Keras; 5-fold CV; Weighted focal loss with tunable balancing ( $b=0.5$ ); Signal sampling.</t>
  </si>
  <si>
    <t>43,101 recordings; 111 types (24 scored); Wavelet denoising ('db4') and moving average.</t>
  </si>
  <si>
    <t>Challenge Metric: 0.5501; AUROC: 0.9486; AUPRC: 0.5615;  $F_{2}$ : 0.5765.</t>
  </si>
  <si>
    <t>NVIDIA Quadro k6000; 64 GB RAM; 3.5 GHz CPU.</t>
  </si>
  <si>
    <t>Authors explicitly demonstrate class-wise attention avoids conflicts by learning specific attention per class.</t>
  </si>
  <si>
    <t>NVIDIA Quadro k6000; Keras; Python.</t>
  </si>
  <si>
    <t>Data imbalance significantly impacted scores; Results only on training set; Unable to score on hidden test.</t>
  </si>
  <si>
    <t>Sophisticated class-wise attention and custom loss reweighting specifically target multi-label imbalances.</t>
  </si>
  <si>
    <t>25</t>
  </si>
  <si>
    <t>CinC2020-185; Interpretable XGBoost... Information Theory; Rajpal et al.</t>
  </si>
  <si>
    <t>XGBoost (Ensemble)</t>
  </si>
  <si>
    <t>XGBoost (Decision Trees)</t>
  </si>
  <si>
    <t>IT measures from neuroscience (Lempel-Ziv Complexity, O-Information, S-Information) for lead interdependencies.</t>
  </si>
  <si>
    <t>Random undersampling; Grid Search; CV optimizing  $F_{2}$ ; Early stopping; AUPRC loss; Threshold tuning.</t>
  </si>
  <si>
    <t>4 countries; 2nd order Butterworth (1.5-25 Hz); db4 wavelet; Metadata integration.</t>
  </si>
  <si>
    <t>Challenge Score: 0.155 (Test), 0.533 (Val); With IT vs Without: AUPRC 0.55 vs 0.512.</t>
  </si>
  <si>
    <t>'With IT' vs 'Without IT' showed consistent gains in AUPRC (+0.038), Accuracy (+0.019), and  $F_{2}$  (+0.025).</t>
  </si>
  <si>
    <t>Python; XGBoost.</t>
  </si>
  <si>
    <t>Significant score reduction (0.533 to 0.155) indicated overfitting; IT measures irrelevant for some conditions.</t>
  </si>
  <si>
    <t>High interpretability; Ranked 2nd for Sinus Rhythm detection due to IT-driven redundancy analysis.</t>
  </si>
  <si>
    <t>26</t>
  </si>
  <si>
    <t>CinC2020-456; Parallel CNNs and Time-Frequency Representation; Torres et al.</t>
  </si>
  <si>
    <t>Modified VGG-16 (Dual-stream)</t>
  </si>
  <si>
    <t>Dual input processing: raw signal time-series plots and Wavelet Synchrosqueezing (WS) time-frequency images.</t>
  </si>
  <si>
    <t>10-fold CV; 50 epochs; Adam; LR: 0.001; Batch size 512; Sigmoid output layer.</t>
  </si>
  <si>
    <t>37,134 records; 4.4M ECG beat images generated; 1.2s segments; 64x64 grayscale; db4 denoising.</t>
  </si>
  <si>
    <t>$F_{1}$ -score: 0.825; Unofficial S-score: 0.766; Specificity: 91.57%.</t>
  </si>
  <si>
    <t>Input: 64x64x1; Longer training time than ResNet-50.</t>
  </si>
  <si>
    <t>Dual-stream ( $F_{1} \sim 0.825$ ) outperformed single-stream variants (TFR-only: 0.76; Raw-only: 0.66).</t>
  </si>
  <si>
    <t>Miztli-UNAM Supercomputer; PyTorch (inferred).</t>
  </si>
  <si>
    <t>Morphology similarity causes interference; difficulty differentiating classes with similar visual features.</t>
  </si>
  <si>
    <t>Unique dual-representation parallel CNN architecture robust for unbalanced classes.</t>
  </si>
  <si>
    <t>27</t>
  </si>
  <si>
    <t>CinC2020-305; Deep Learning Solution... Scalograms; Huerta et al.</t>
  </si>
  <si>
    <t>Deep Learning (2D-CNN)</t>
  </si>
  <si>
    <t>Custom 8-layer CNN</t>
  </si>
  <si>
    <t>Beat-to-beat segmentation; Sequential concatenation of 12 leads into one signal per beat; Transformation to 2D scalograms (CWT).</t>
  </si>
  <si>
    <t>20 epochs; SGD; Momentum: 0.9; LR: 0.001; Mini-batch: 100; Softmax; ReLU.</t>
  </si>
  <si>
    <t>130,627 beats; 9 output classes (AF, 1AVB, LBBB, NSR, PAC, PVC, RBBB, STD, STE).</t>
  </si>
  <si>
    <t>Training:  $F_{\beta}$  0.933,  $G_{\beta}$  0.811; Validation:  $F_{\beta}$  0.654,  $G_{\beta}$  0.372.</t>
  </si>
  <si>
    <t>Image size: 200x1000x3 pixels; Avg class probabilities &gt;10% for secondary diagnoses.</t>
  </si>
  <si>
    <t>Averaging class probabilities for all beats in a signal provided final diagnosis.</t>
  </si>
  <si>
    <t>Excessive reliance on R-peak detection; Limited training (9 classes); Performance drop on hidden sets.</t>
  </si>
  <si>
    <t>Unique beat-to-beat 2D representation; struggled with secondary abnormalities due to training scale.</t>
  </si>
  <si>
    <t>28</t>
  </si>
  <si>
    <t>CinC2020-374; ...Residual Neural Networks and Transfer Learning; Ansari et al.</t>
  </si>
  <si>
    <t>Deep Learning / Transfer Learning</t>
  </si>
  <si>
    <t>Custom ResNet; Ensemble of 5 variants</t>
  </si>
  <si>
    <t>Pre-training on massive MUSE dataset; Automated label mapping via UMLS and SCT graph traversal.</t>
  </si>
  <si>
    <t>Adam; BCE loss; Batch size 128; Early stopping; LR decay; Full retraining of weights.</t>
  </si>
  <si>
    <t>Pre-training: 1.2M+ MUSE records; Fine-tuning: 43,101 records; 250 Hz resampling; Butterworth filtering.</t>
  </si>
  <si>
    <t>Challenge Val: 0.616; Official Test: 0.141; MUSE Val AUROC: 0.83 to 0.99.</t>
  </si>
  <si>
    <t>Full weight retraining outperformed freezing layers; Demographic features and XGBoost did not improve performance.</t>
  </si>
  <si>
    <t>TensorFlow 2.3.0; Keras.</t>
  </si>
  <si>
    <t>Low performance on underrepresented classes (Brady, LPR); Significant drop from validation to test.</t>
  </si>
  <si>
    <t>Leveraged exceptionally large private dataset and ontological mapping to overcome small competition samples.</t>
  </si>
  <si>
    <t>29</t>
  </si>
  <si>
    <t>CinC2020-139; Multi-label Classification... EASTNet; Ran et al.</t>
  </si>
  <si>
    <t>EASTNet (Modified 1D-ResNet34)</t>
  </si>
  <si>
    <t>1D Squeeze-and-Excitation (SE) blocks; Random beat sampling for augmentation; 15x15 initial convolution for receptive field.</t>
  </si>
  <si>
    <t>5-fold CV; 3-45 Hz FIR filter; R-peak detection; Dropout; Replacement of max-pooling with conv layers.</t>
  </si>
  <si>
    <t>6,720 valid records; 201,600 beats; Selective discarding for balance; 4 intercepted beats per input.</t>
  </si>
  <si>
    <t>Challenge Score: 0.703 (5-fold CV); LSTM baseline: 0.5937; SVM baseline: 0.5611.</t>
  </si>
  <si>
    <t>Trade-off between score and complexity regarding number of beats.</t>
  </si>
  <si>
    <t>1D-ResNet34 (0.6760) vs. ResNet+SE (0.6856) vs. ResNet+MLP (0.6875) vs. full EASTNet (0.7030).</t>
  </si>
  <si>
    <t>PyTorch (inferred); FIR filter.</t>
  </si>
  <si>
    <t>Unable to score in hidden validation; Difficulty balancing noise as heartbeat count increases beyond 5.</t>
  </si>
  <si>
    <t>Effectively leverages channel-wise attention and novel random sampling to solve data imbalance.</t>
  </si>
  <si>
    <t>30</t>
  </si>
  <si>
    <t>CinC2020-307; Classification... DTFT and Attention; Hammoud et al.</t>
  </si>
  <si>
    <t>Hybrid Sequence Model</t>
  </si>
  <si>
    <t>Bidirectional LSTM with Attention</t>
  </si>
  <si>
    <t>Intra-heartbeat Discrete-time Fourier Transform (DTFT); Heuristic best lead selection via gradient ratios.</t>
  </si>
  <si>
    <t>Hyperopt Bayesian optimization; BCE loss;  $L_{1}$ / $L_{2}$  regularization; 512-dim embeddings; 256-dim hidden.</t>
  </si>
  <si>
    <t>43,101 ECGs; 10s windows; Max 10 heartbeats; Static features (Age, Sex, HR) + Time-varying spectral.</t>
  </si>
  <si>
    <t>Validation Score: 0.416; Full Test: 0.024; Database 1: 0.513.</t>
  </si>
  <si>
    <t>Peak detection pipeline accuracy &gt;99% verified on 50 random signals; Heuristic lead selection quality measure.</t>
  </si>
  <si>
    <t>Hyperopt (Python); Not in source.</t>
  </si>
  <si>
    <t>Failure to generalize across databases (Val 0.416 vs Test 0.024); Outcome-agnostic approach.</t>
  </si>
  <si>
    <t>Specialized frequency-domain heartbeat representation combined with bidirectional temporal modeling.</t>
  </si>
  <si>
    <t>31</t>
  </si>
  <si>
    <t>On the Application of CNNs... Multiple Centers; Borra et al.</t>
  </si>
  <si>
    <t>InceptionTime; ResNet; XResNetld</t>
  </si>
  <si>
    <t>Decoding workflow using SOTA time series CNNs; Concat-pooling (Global Avg + Max); Lead-zeroing augmentation.</t>
  </si>
  <si>
    <t>Adam; LR:  $10^{-3}$ ; Batch size 32; Cross-entropy loss; 100 epochs; 5-fold stratified CV.</t>
  </si>
  <si>
    <t>Multicenter merge (42,511 total); 2.5s chunks; Online random lead zeroing ( $p=0.5$ ).</t>
  </si>
  <si>
    <t>Metric: 0.5183 (InceptionTime), 0.5180 (XResNet 50); AUROC: 0.9400 (ResNet).</t>
  </si>
  <si>
    <t>InceptionTime: 510k params; XResNet 101: 3.6M params; GPU-accelerated inference.</t>
  </si>
  <si>
    <t>InceptionTime identified as best compromise between performance (0.5183) and complexity (510k params).</t>
  </si>
  <si>
    <t>NVIDIA Titan V; PyTorch; Python.</t>
  </si>
  <si>
    <t>Limited interpretability; Poor representation of rare conditions (e.g., PVC); Unable to obtain official test scores.</t>
  </si>
  <si>
    <t>Parsimonious model (InceptionTime) balancing accuracy and low parameter count to prevent overfitting.</t>
  </si>
  <si>
    <t>32</t>
  </si>
  <si>
    <t>CinC2020-144; ...Non-Linear Features and CNNs; Cajas et al.</t>
  </si>
  <si>
    <t>Custom 1D-CNN</t>
  </si>
  <si>
    <t>Savitzky-Golay smoothing combined with 27 hand-crafted linear/non-linear features (Shannon entropy, etc.) selected via PCA.</t>
  </si>
  <si>
    <t>10-fold CV; Keras normalization; 9 categories; Compared against RNN/LSTM.</t>
  </si>
  <si>
    <t>6,877 recordings; Symlet wavelet decomposition and baseline detrending.</t>
  </si>
  <si>
    <t>Challenge Score: 0.22 (Avg over K-fold); Accuracy/Precision/F-measure.</t>
  </si>
  <si>
    <t>Savitzky-Golay and baseline detrending confirmed as best cleaning method; CNN prioritized over RNN/LSTM.</t>
  </si>
  <si>
    <t>Keras; Sklearn; Python.</t>
  </si>
  <si>
    <t>Overlapping noise in 1-4 Hz band; Motion artifacts; Lack of compute for windowing segmentation.</t>
  </si>
  <si>
    <t>Strong emphasis on noise-aware signal reduction using Savitzky-Golay filters to maintain morphology.</t>
  </si>
  <si>
    <t>33</t>
  </si>
  <si>
    <t>CinC2020-297; A Topology Informed RF Classifier; Ignacio et al.</t>
  </si>
  <si>
    <t>TDA + Random Forest</t>
  </si>
  <si>
    <t>Two-level Random Forest</t>
  </si>
  <si>
    <t>Conversion of ECG to point cloud embeddings; Persistent homological signatures (barcodes, landscapes) as features.</t>
  </si>
  <si>
    <t>Two-level RF: Level 1 (scored vs unscored); Level 2-1 (scored subset); Level 2-2 (unscored subset); Max depth 20.</t>
  </si>
  <si>
    <t>12-lead ECG; Three 1800-point windows; 7 lead groupings; 1238 features including TDA and RR intervals.</t>
  </si>
  <si>
    <t>Validation Score: 0.304; Full Test Score: -0.113; Average 3-fold CV AUROC: 0.846.</t>
  </si>
  <si>
    <t>Point cloud sampling (300 slices) used to reduce costs; RIPSER for barcode computation.</t>
  </si>
  <si>
    <t>TDA Features outperformed Challenge RF baseline (0.304 vs 0.076); Captured true positive signal but high false negatives.</t>
  </si>
  <si>
    <t>Python; RIPSER; Scikit-learn.</t>
  </si>
  <si>
    <t>High computational cost of TDA; Low  $F_{1}$  scores; Generalizability concerns on specific test databases.</t>
  </si>
  <si>
    <t>Uses mathematical topology to replace expert features, significantly outperforming non-topological baselines.</t>
  </si>
  <si>
    <t>34</t>
  </si>
  <si>
    <t>CinC2020-353; ...CAMs for Improved Explainability; Goodfellow et al.</t>
  </si>
  <si>
    <t>Deep Learning / Hybrid</t>
  </si>
  <si>
    <t>Modified WaveNet (non-causal)</t>
  </si>
  <si>
    <t>Likelihood features for R-peak/P-wave/T-wave as input channels; Squared Sigmoid outputs to penalize false negatives.</t>
  </si>
  <si>
    <t>6-fold CV; Adam; ReduceLROnPlateau; Early stopping; BCE + MSE decoder loss; Threshold tuning.</t>
  </si>
  <si>
    <t>1000 Hz upsampling; 19s segments; Synthetic noise augmentation (Gaussian, baseline wander, pulses).</t>
  </si>
  <si>
    <t>CV Mean: 0.630; CV Fold Max: 0.644; CV Fold Min: 0.614; Official Test: -0.406 (Submission Error).</t>
  </si>
  <si>
    <t>Input: 19k samples; Batch size 128; Inference via majority vote of 6 models.</t>
  </si>
  <si>
    <t>Superior performance using unfiltered data with synthetic noise over filtered data; Age/gender features declined performance.</t>
  </si>
  <si>
    <t>Python; BioSPPy; iterative-stratification.</t>
  </si>
  <si>
    <t>Submission error/time constraints prevented test score; Sensitive to mislabeled training data.</t>
  </si>
  <si>
    <t>Utilizes explainable AI via Class Activation Maps and domain-specific wave likelihood features.</t>
  </si>
  <si>
    <t>35</t>
  </si>
  <si>
    <t>CinC2020-162; Lightweight... Anti-aliased Blocks; Yu et al.</t>
  </si>
  <si>
    <t>ResNet-18 (modified for 1D)</t>
  </si>
  <si>
    <t>Anti-aliased blocks (BlurPool) for shift invariance; Integrated standard/dilated convolutions (rates 1 &amp; 2); Dual activation.</t>
  </si>
  <si>
    <t>Adam (0.0003); Gradient accumulation (64 records); Lovász-softmax and Weighted Cross Entropy switching ( $p=0.5$ ).</t>
  </si>
  <si>
    <t>4 pooled sources; 80 Hz downsampling; Undersampling (30% normal removed); Random erasing/shifting.</t>
  </si>
  <si>
    <t>Challenge Metric Score: 0.328 (Offline validation).</t>
  </si>
  <si>
    <t>Real-time feasible; Lightweight 80 Hz sampling; Multi-lead to single-lead feasibility.</t>
  </si>
  <si>
    <t>Compared 60/80/100 Hz signals; cited anti-aliased design (BlurPool) and multi-scale convolutions as drivers.</t>
  </si>
  <si>
    <t>High rate of False Negatives/Positives; Performance degrades with increased rhythm classes.</t>
  </si>
  <si>
    <t>Extreme efficiency via 80Hz downsampling and anti-aliasing while maintaining multi-scale fields.</t>
  </si>
  <si>
    <t>36</t>
  </si>
  <si>
    <t>CinC2020-202; Digital Biomarkers and Representation Learning; Assaraf et al.</t>
  </si>
  <si>
    <t>Hybrid (FE + DL Ensemble)</t>
  </si>
  <si>
    <t>RF (FE); ResNet-GRU (DL); LogReg (Ensemble)</t>
  </si>
  <si>
    <t>Ensemble combining 113 morphological and 16 HRV digital biomarkers with a residual CNN-GRU multi-head architecture.</t>
  </si>
  <si>
    <t>RF: 750 estimators; DL: Adam, BCEWithLogits + F-Beta loss; stratified 80/20 split; mRMR for feature selection.</t>
  </si>
  <si>
    <t>53,730 recordings; bSQI quality check; 500Hz resampling; Butterworth/Notch filtering.</t>
  </si>
  <si>
    <t>Local Test Challenge Score: FE=0.65, DL=0.52, EL=0.66; CV: EL=0.66  $\pm$  0.03.</t>
  </si>
  <si>
    <t>Signals padded to 80s (40k samples); GRU takes 1250 features from CNN.</t>
  </si>
  <si>
    <t>Feature engineering (FE) significantly outperformed DL (0.65 vs 0.52); Ensemble provided marginal 0.01 gain over FE.</t>
  </si>
  <si>
    <t>Python; PyTorch; wavedet.</t>
  </si>
  <si>
    <t>Low performance on classes with &lt;500 examples; Technical difficulties prevented hidden test score.</t>
  </si>
  <si>
    <t>Demonstrates that traditional physiological features can outperform deep learning in data-constrained scenarios.</t>
  </si>
  <si>
    <t>37</t>
  </si>
  <si>
    <t>CinC2020-435; ECG Morphological Decomposition...; García-Isla et al.</t>
  </si>
  <si>
    <t>Hybrid Ensemble / Template</t>
  </si>
  <si>
    <t>SVM (Phase 1); Boosted Trees (Phase 2)</t>
  </si>
  <si>
    <t>Rhythm-specific templates; 6 regions of interest (P, QRS, PQ-ST, T, PR, RT); Cross-correlation index distance features.</t>
  </si>
  <si>
    <t>10-fold CV; Bagged/Boosted Trees; R-peak detection via Pan Tompkins with Gaussian smoothing.</t>
  </si>
  <si>
    <t>6 databases; 43,101 labeled ECGs; Baseline correction via median filters; 35 Hz low-pass filter.</t>
  </si>
  <si>
    <t>Phase 1 Accuracy: 94.4%; Phase 2 Challenge Metric: 0.030; Phase 2 Accuracy: 15.0%.</t>
  </si>
  <si>
    <t>6s to 60s recordings; Matlab 2020a.</t>
  </si>
  <si>
    <t>AF and STach captured well by individual classifiers, proving regional feature relevance; Phase 2 drop proved template limits.</t>
  </si>
  <si>
    <t>Matlab 2020a; HRV toolbox; ECGkit.</t>
  </si>
  <si>
    <t>Failed to distinguish rhythms with similar expressions (IRBBB vs RBBB); performance degraded at scale (24 classes).</t>
  </si>
  <si>
    <t>Strong physiological alignment using regional cardiac auditing; lacks DL scalability for multi-label tasks.</t>
  </si>
  <si>
    <t>38</t>
  </si>
  <si>
    <t>CinC2020-424; Automatic Concurrent Arrhythmia Classification; Nankani et al.</t>
  </si>
  <si>
    <t>Custom 8-layer ResNet</t>
  </si>
  <si>
    <t>Eight-layer 1D ResNet specifically for ECG; Skip connections; Conversion of variable signals to 2500 sample segments.</t>
  </si>
  <si>
    <t>Xavier initialization; Batch size 16; Early stopping (5 epochs); Dropout 0.5; Adam (inferred).</t>
  </si>
  <si>
    <t>6 databases; Homogenized to 2500 samples; 80/20 train-validation split; 27 labels (treated as single-label).</t>
  </si>
  <si>
    <t>Val Challenge: 0.305; Full Test Challenge: -0.035; Val AUROC: 0.825.</t>
  </si>
  <si>
    <t>Training: ~110s/epoch (vs 9070s for attention-based); 32GB RAM managed via generator.</t>
  </si>
  <si>
    <t>Investigated 17 models; ResNet outperformed RNNs and Attention-models in both score and training time.</t>
  </si>
  <si>
    <t>Intel Xeon; 32 GB RAM; Titan Xp; Keras.</t>
  </si>
  <si>
    <t>Single-label prediction for multi-label problem; Predicted only 24 labels despite 27-label training.</t>
  </si>
  <si>
    <t>Competitive balance between training efficiency (fastest epoch time) and accuracy using residual architecture.</t>
  </si>
  <si>
    <t>39</t>
  </si>
  <si>
    <t>CinC2020-406; Classification... Ensemble ML Approach; Bodini et al.</t>
  </si>
  <si>
    <t>Hybrid Ensemble (CNN+FFNN)</t>
  </si>
  <si>
    <t>3 CNNs (P, QRS, T) + 1 FFNN + PVC Detector</t>
  </si>
  <si>
    <t>Morphology features with specialized neural networks for different ECG segments and rhythm intervals.</t>
  </si>
  <si>
    <t>Adam; BCE loss; 1000 epochs; Batch size 64; 70/30 split; Dropout (0.1-0.4); ReLU activation.</t>
  </si>
  <si>
    <t>40,000+ calibration records; 500 Hz resampling; Filtered 0.67-30 Hz; Signal quality filtering.</t>
  </si>
  <si>
    <t>Val Score: 0.241; Private Test: -0.179; QRS recall for RBBB: 0.93.</t>
  </si>
  <si>
    <t>First 1-minute segment; PVC threshold: 1.44 mV.</t>
  </si>
  <si>
    <t>QRS-CNN strongest performer; Rhythm-NN and P-CNN suffered due to low samples for Flutter/prolonged PR.</t>
  </si>
  <si>
    <t>Low private test performance; Normal ECG detection via elimination led to high false positives.</t>
  </si>
  <si>
    <t>Modular architecture isolating cardiac morphology from rhythm; struggled with generalization.</t>
  </si>
  <si>
    <t>40</t>
  </si>
  <si>
    <t>2-D CNN for Arrhythmia Detection; He et al.</t>
  </si>
  <si>
    <t>Custom 2-D CNN (12 blocks)</t>
  </si>
  <si>
    <t>Variable 2-D filter shapes: Transition from 1D (sample-only) to 2D (cross-lead) to enable cross-lead fusion; SE-attention.</t>
  </si>
  <si>
    <t>Adam ( $0.001$ ); Weighted BCE loss; 5-fold CV; 80/20 train-test split; Sigmoid output.</t>
  </si>
  <si>
    <t>43,101 subjects; 100 Hz downsampling; 0.05-20 Hz band-pass filter; fixed 10s segments.</t>
  </si>
  <si>
    <t>CV Challenge: 0.621; Val: 0.616; Full Test: 0.370; Hidden CPSC Set: 0.758.</t>
  </si>
  <si>
    <t>100 Hz downsampling used to reduce memory and speed training.</t>
  </si>
  <si>
    <t>Spatial Dropout+GAP+SE Attention achieved 0.621; removing Attention dropped score to 0.569.</t>
  </si>
  <si>
    <t>Keras with TensorFlow backend.</t>
  </si>
  <si>
    <t>Fixed 10s input length ignores intermittent rhythms; drastic drop on Hidden Undisclosed Set (0.194).</t>
  </si>
  <si>
    <t>Innovative 2D kernels for spatial-temporal features combined with channel-wise attention to prevent overfitting.</t>
  </si>
  <si>
    <t>41</t>
  </si>
  <si>
    <t>Index</t>
  </si>
  <si>
    <t>Reference</t>
  </si>
  <si>
    <t>1</t>
  </si>
  <si>
    <t>2020ChallengePaper.pdf</t>
  </si>
  <si>
    <t>2</t>
  </si>
  <si>
    <t>CinC2020-236.pdf</t>
  </si>
  <si>
    <t>CinC2020-189.pdf</t>
  </si>
  <si>
    <t>CinC2020-281.pdf</t>
  </si>
  <si>
    <t>CinC2020-445.pdf</t>
  </si>
  <si>
    <t>CinC2020-328.pdf</t>
  </si>
  <si>
    <t>CinC2020-253.pdf</t>
  </si>
  <si>
    <t>CinC2020-161.pdf</t>
  </si>
  <si>
    <t>CinC2020-171.pdf</t>
  </si>
  <si>
    <t>CinC2020-417.pdf</t>
  </si>
  <si>
    <t>CinC2020-229.pdf</t>
  </si>
  <si>
    <t>CinC2020-134.pdf</t>
  </si>
  <si>
    <t>CinC2020-225.pdf</t>
  </si>
  <si>
    <t>CinC2020-282.pdf</t>
  </si>
  <si>
    <t>CinC2020-363.pdf</t>
  </si>
  <si>
    <t>CinC2020-138.pdf</t>
  </si>
  <si>
    <t>CinC2020-198.pdf</t>
  </si>
  <si>
    <t>CinC2020-356.pdf</t>
  </si>
  <si>
    <t>CinC2020-462.pdf</t>
  </si>
  <si>
    <t>CinC2020-277.pdf</t>
  </si>
  <si>
    <t>CinC2020-135.pdf</t>
  </si>
  <si>
    <t>CinC2020-339.pdf</t>
  </si>
  <si>
    <t>CinC2020-148.pdf</t>
  </si>
  <si>
    <t>CinC2020-340.pdf</t>
  </si>
  <si>
    <t>CinC2020-285.pdf</t>
  </si>
  <si>
    <t>CinC2020-185.pdf</t>
  </si>
  <si>
    <t>CinC2020-456.pdf</t>
  </si>
  <si>
    <t>CinC2020-305.pdf</t>
  </si>
  <si>
    <t>CinC2020-374.pdf</t>
  </si>
  <si>
    <t>CinC2020-139.pdf</t>
  </si>
  <si>
    <t>CinC2020-307.pdf</t>
  </si>
  <si>
    <t>CinC2020-349.pdf</t>
  </si>
  <si>
    <t>CinC2020-144.pdf</t>
  </si>
  <si>
    <t>CinC2020-297.pdf</t>
  </si>
  <si>
    <t>CinC2020-353.pdf</t>
  </si>
  <si>
    <t>CinC2020-162.pdf</t>
  </si>
  <si>
    <t>CinC2020-202.pdf</t>
  </si>
  <si>
    <t>CinC2020-435.pdf</t>
  </si>
  <si>
    <t>CinC2020-424.pdf</t>
  </si>
  <si>
    <t>CinC2020-406.pdf</t>
  </si>
  <si>
    <t>CinC2020-196.pdf</t>
  </si>
  <si>
    <t>Performance Score</t>
  </si>
  <si>
    <t>Average Score</t>
  </si>
  <si>
    <t>Count</t>
  </si>
  <si>
    <t>Grand Total</t>
  </si>
  <si>
    <t>PhysioNet/CinC 2020 Competition Analysis Dashboard</t>
  </si>
  <si>
    <t>Trend Summaries:
- The majority of top-performing models utilized Deep Learning (CNNs and ResNet variants).
- Data augmentation and domain-specific feature engineering (e.g., Lempel-Ziv complexity) were key differentiators.
- A common failure mode across multiple submissions was poor generalization to hidden datasets and severe performance drops on underrepresented classes (e.g., PVC, PAC).</t>
  </si>
  <si>
    <t>Data Strategies (Top 5)</t>
  </si>
  <si>
    <t>Common Failure Modes (Top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</si>
</sst>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181C1F"/>
      <name val="Roboto"/>
    </font>
    <font>
      <b/>
      <sz val="24.0"/>
      <color rgb="FFFFFFFF"/>
      <name val="Montserrat"/>
    </font>
    <font>
      <sz val="12.0"/>
      <color rgb="FF181C1F"/>
      <name val="Roboto"/>
    </font>
    <font>
      <b/>
      <color rgb="FFFFFFFF"/>
      <name val="Montserrat"/>
    </font>
    <font>
      <sz val="10.0"/>
      <color rgb="FF181C1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8F8FF"/>
        <bgColor rgb="FFF8F8FF"/>
      </patternFill>
    </fill>
    <fill>
      <patternFill patternType="solid">
        <fgColor rgb="FF35608E"/>
        <bgColor rgb="FF35608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left" readingOrder="0" shrinkToFit="0" vertical="top" wrapText="1"/>
    </xf>
    <xf borderId="0" fillId="3" fontId="5" numFmtId="0" xfId="0" applyAlignment="1" applyFont="1">
      <alignment readingOrder="0"/>
    </xf>
    <xf borderId="0" fillId="4" fontId="6" numFmtId="0" xfId="0" applyFont="1"/>
    <xf borderId="0" fillId="4" fontId="6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Performance by Core Paradigm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Calc_Data!$K$1</c:f>
            </c:strRef>
          </c:tx>
          <c:spPr>
            <a:solidFill>
              <a:srgbClr val="35608E"/>
            </a:solidFill>
            <a:ln cmpd="sng">
              <a:noFill/>
            </a:ln>
          </c:spPr>
          <c:cat>
            <c:strRef>
              <c:f>Calc_Data!$J$2:$J$25</c:f>
            </c:strRef>
          </c:cat>
          <c:val>
            <c:numRef>
              <c:f>Calc_Data!$K$2:$K$25</c:f>
              <c:numCache/>
            </c:numRef>
          </c:val>
        </c:ser>
        <c:axId val="988442836"/>
        <c:axId val="1912782419"/>
      </c:barChart>
      <c:catAx>
        <c:axId val="9884428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Core Paradigm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782419"/>
      </c:catAx>
      <c:valAx>
        <c:axId val="19127824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44283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 Model Architectures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Calc_Data!$N$1:$N$40</c:f>
            </c:strRef>
          </c:cat>
          <c:val>
            <c:numRef>
              <c:f>Calc_Data!$O$1:$O$40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Hardware &amp; Framework Stacks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Calc_Data!$S$1</c:f>
            </c:strRef>
          </c:tx>
          <c:spPr>
            <a:solidFill>
              <a:srgbClr val="35608E"/>
            </a:solidFill>
            <a:ln cmpd="sng">
              <a:noFill/>
            </a:ln>
          </c:spPr>
          <c:cat>
            <c:strRef>
              <c:f>Calc_Data!$R$2:$R$30</c:f>
            </c:strRef>
          </c:cat>
          <c:val>
            <c:numRef>
              <c:f>Calc_Data!$S$2:$S$30</c:f>
              <c:numCache/>
            </c:numRef>
          </c:val>
        </c:ser>
        <c:axId val="1079065821"/>
        <c:axId val="96584820"/>
      </c:barChart>
      <c:catAx>
        <c:axId val="10790658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Stack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84820"/>
      </c:catAx>
      <c:valAx>
        <c:axId val="965848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90658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Performance Distribution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Calc_Data!$H$1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35608E"/>
              </a:solidFill>
              <a:ln cmpd="sng">
                <a:solidFill>
                  <a:srgbClr val="35608E"/>
                </a:solidFill>
              </a:ln>
            </c:spPr>
          </c:marker>
          <c:xVal>
            <c:numRef>
              <c:f>Calc_Data!$A$2:$A$42</c:f>
            </c:numRef>
          </c:xVal>
          <c:yVal>
            <c:numRef>
              <c:f>Calc_Data!$H$2:$H$42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685783"/>
        <c:axId val="1599222522"/>
      </c:scatterChart>
      <c:valAx>
        <c:axId val="14426857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Paper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222522"/>
      </c:valAx>
      <c:valAx>
        <c:axId val="1599222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685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0</xdr:rowOff>
    </xdr:from>
    <xdr:ext cx="7810500" cy="2857500"/>
    <xdr:graphicFrame>
      <xdr:nvGraphicFramePr>
        <xdr:cNvPr id="1" name="Chart 1" title="Average Performance by Core Paradig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9</xdr:row>
      <xdr:rowOff>0</xdr:rowOff>
    </xdr:from>
    <xdr:ext cx="7810500" cy="2857500"/>
    <xdr:graphicFrame>
      <xdr:nvGraphicFramePr>
        <xdr:cNvPr id="2" name="Chart 2" title="Base Model Architectu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27</xdr:row>
      <xdr:rowOff>0</xdr:rowOff>
    </xdr:from>
    <xdr:ext cx="7810500" cy="2857500"/>
    <xdr:graphicFrame>
      <xdr:nvGraphicFramePr>
        <xdr:cNvPr id="3" name="Chart 3" title="Hardware &amp; Framework Stack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27</xdr:row>
      <xdr:rowOff>0</xdr:rowOff>
    </xdr:from>
    <xdr:ext cx="7810500" cy="2857500"/>
    <xdr:graphicFrame>
      <xdr:nvGraphicFramePr>
        <xdr:cNvPr id="4" name="Chart 4" title="Performance Distrib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41" sheet="Calc_Data"/>
  </cacheSource>
  <cacheFields>
    <cacheField name="Paper ID / Title / Authors" numFmtId="0">
      <sharedItems>
        <s v="Classification of 12-lead ECGs: the PhysioNet/CiC 2020; Perez Alday et al."/>
        <s v="CinC2020-189; ECG Abnormalities Recognition...; Vicar et al."/>
        <s v="CinC2020-281; Classification of Cardiac Abnormalities...; Zhu et al."/>
        <s v="CinC2020-445; Adversarial Multi-Source Domain Generalization; Hasani et al."/>
        <s v="CinC2020-328; Bag of Tricks for ECG Classification...; Min et al."/>
        <s v="CinC2020-253; Pre-trained Exponentially Dilated Causal CNN; Bos et al."/>
        <s v="CinC2020-161; Impact of Neural Architecture Design...; Fayyazifar et al."/>
        <s v="CinC2020-171; Cardiac Pathologies Detection and Classification...; Smisek et al."/>
        <s v="CinC2020-417; CRNN and LightGBM Ensemble...; Zisou et al."/>
        <s v="Cardiac Abnormality Detection... Data Augmentation; Weber et al."/>
        <s v="Multi-label Arrhythmia Classification...; Hsu et al."/>
        <s v="CinC2020-225; A Bio-toolkit for Multi-Cardiac Abnormality...; Kirodiwal et al."/>
        <s v="CinC2020-282; MADNN: A Multi-scale Attention Deep Neural Network; Duan et al."/>
        <s v="CinC2020-363; Gradient Boosting on Domain-Specific/Agnostic Features; Uguz et al."/>
        <s v="CinC2020-138; Automated Classification... Wavelet Analysis; Demonbreun et al."/>
        <s v="CinC2020-198; ECG Classification With a CRNN; Sigurthorsdottir et al."/>
        <s v="CinC2020-356; ECG Segmentation... Basis for Detection; Sodmann et al."/>
        <s v="CinC2020-462; Hybrid Scattering-LSTM Networks; Warrick et al."/>
        <s v="Classification... 1D-CNN with Class Dependent Threshold; Pardasani et al."/>
        <s v="CinC2020-135; Diagnostic of Multiple Cardiac Disorders... GCN; Jiang et al."/>
        <s v="CinC2020-339; Detection... Using Deep Convolutional Neural Networks; Sallem et al."/>
        <s v="CinC2020-148; Multi-Stream DNN For ECG Classification; Baumgartner et al."/>
        <s v="Prediction of Apnoea... Using a Neural Network Classifier; de Chazal et al."/>
        <s v="CinC2020-285; Multi-Label Classification... Class-Wise Attention; Liu et al."/>
        <s v="CinC2020-185; Interpretable XGBoost... Information Theory; Rajpal et al."/>
        <s v="CinC2020-456; Parallel CNNs and Time-Frequency Representation; Torres et al."/>
        <s v="CinC2020-305; Deep Learning Solution... Scalograms; Huerta et al."/>
        <s v="CinC2020-374; ...Residual Neural Networks and Transfer Learning; Ansari et al."/>
        <s v="CinC2020-139; Multi-label Classification... EASTNet; Ran et al."/>
        <s v="CinC2020-307; Classification... DTFT and Attention; Hammoud et al."/>
        <s v="On the Application of CNNs... Multiple Centers; Borra et al."/>
        <s v="CinC2020-144; ...Non-Linear Features and CNNs; Cajas et al."/>
        <s v="CinC2020-297; A Topology Informed RF Classifier; Ignacio et al."/>
        <s v="CinC2020-353; ...CAMs for Improved Explainability; Goodfellow et al."/>
        <s v="CinC2020-162; Lightweight... Anti-aliased Blocks; Yu et al."/>
        <s v="CinC2020-202; Digital Biomarkers and Representation Learning; Assaraf et al."/>
        <s v="CinC2020-435; ECG Morphological Decomposition...; García-Isla et al."/>
        <s v="CinC2020-424; Automatic Concurrent Arrhythmia Classification; Nankani et al."/>
        <s v="CinC2020-406; Classification... Ensemble ML Approach; Bodini et al."/>
        <s v="2-D CNN for Arrhythmia Detection; He et al."/>
      </sharedItems>
    </cacheField>
    <cacheField name="Core Paradigm" numFmtId="0">
      <sharedItems>
        <s v="Meta-analysis / Hybrid ML"/>
        <s v="Deep Learning (CNN)"/>
        <s v="Hybrid DL and Rule-based"/>
        <s v="Hybrid CNN-LSTM"/>
        <s v="Causal CNN"/>
        <s v="Hybrid CNN-RNN / NAS"/>
        <s v="Rule-based and Decision Trees"/>
        <s v="Ensemble (DL + GBDT)"/>
        <s v="Machine Learning (Ensemble)"/>
        <s v="Deep Learning (CNN+LSTM)"/>
        <s v="Machine Learning (GBDT)"/>
        <s v="Deep Learning / Image-based"/>
        <s v="Deep Learning (CRNN)"/>
        <s v="Two-step: CNN + XGBoost"/>
        <s v="Hybrid DSP &amp; Deep Learning"/>
        <s v="Hybrid CNN-GRU-GCN"/>
        <s v="Deep 1D CNN"/>
        <s v="Hybrid: MLP + CNN"/>
        <s v="Neural Network (FFNN)"/>
        <s v="XGBoost (Ensemble)"/>
        <s v="Deep Learning (2D-CNN)"/>
        <s v="Deep Learning / Transfer Learning"/>
        <s v="Hybrid Sequence Model"/>
        <s v="TDA + Random Forest"/>
        <s v="Deep Learning / Hybrid"/>
        <s v="Hybrid (FE + DL Ensemble)"/>
        <s v="Hybrid Ensemble / Template"/>
        <s v="Hybrid Ensemble (CNN+FFNN)"/>
      </sharedItems>
    </cacheField>
    <cacheField name="Base Model / Backbone" numFmtId="0">
      <sharedItems>
        <s v="Various (CNNs dominant; RF/MLR baselines)"/>
        <s v="Modified 1D-ResNet (6 blocks)"/>
        <s v="SE-ResNet (Squeeze-and-Excitation)"/>
        <s v="Parallel CNN (Fine/Coarse Kernels) + Bi-LSTM"/>
        <s v="Wide ResNet (WRN-18-2)"/>
        <s v="Custom 1D Dilated Causal CNN (7 blocks)"/>
        <s v="Custom 49-layer RCNN (CNN + Bi-LSTM); DARTS"/>
        <s v="Feature-extraction Ensemble"/>
        <s v="Hybrid: 1D-CRNN and LightGBM"/>
        <s v="Custom ResNet-inspired"/>
        <s v="Boosting Classifier (Best); RF; AlexNet; LSTM"/>
        <s v="Custom 1D-CNN (2 layers) + LSTM (2 layers)"/>
        <s v="ResNeXt (1D-modified) stem + 4 Multi-scale modules"/>
        <s v="XGBoost"/>
        <s v="Modified SqueezeNet (18 layers)"/>
        <s v="15-layer CNN + Bi-GRU"/>
        <s v="Custom UNet-like + XGBoost"/>
        <s v="Scattering-DSC-BiLSTM"/>
        <s v="Custom 1D-CNN (24 parallel branches)"/>
        <s v="16-block ResNet + Bi-GRU"/>
        <s v="VGG-ECG (13-layer fully CNN)"/>
        <s v="Custom Multi-stream (CNN + Bi-GRU + MLP)"/>
        <s v="Bank of 10 FFNNs (Single hidden layer, 20 units)"/>
        <s v="Custom 1D-CNN (9 residual blocks)"/>
        <s v="XGBoost (Decision Trees)"/>
        <s v="Modified VGG-16 (Dual-stream)"/>
        <s v="Custom 8-layer CNN"/>
        <s v="Custom ResNet; Ensemble of 5 variants"/>
        <s v="EASTNet (Modified 1D-ResNet34)"/>
        <s v="Bidirectional LSTM with Attention"/>
        <s v="InceptionTime; ResNet; XResNetld"/>
        <s v="Custom 1D-CNN"/>
        <s v="Two-level Random Forest"/>
        <s v="Modified WaveNet (non-causal)"/>
        <s v="ResNet-18 (modified for 1D)"/>
        <s v="RF (FE); ResNet-GRU (DL); LogReg (Ensemble)"/>
        <s v="SVM (Phase 1); Boosted Trees (Phase 2)"/>
        <s v="Custom 8-layer ResNet"/>
        <s v="3 CNNs (P, QRS, T) + 1 FFNN + PVC Detector"/>
        <s v="Custom 2-D CNN (12 blocks)"/>
      </sharedItems>
    </cacheField>
    <cacheField name="Data Strategy &amp; Volume" numFmtId="0">
      <sharedItems>
        <s v="66,361 recordings (43,101 public); 111 classes (27 scored); Multi-institutional (6 systems)."/>
        <s v="43,101 recordings; 125 Hz resampling;  $\pm 10\%$  temporal stretch &amp;  $\pm 20\%$  voltage amplification ( $p=0.8$ )."/>
        <s v="43,101 signals; CPSC relabeling; Hefei external validation set (6,500 records)."/>
        <s v="43,101 signals (27 scored classes); 250 Hz resampling; Lead dropout/shuffling/inversion augmentations."/>
        <s v="37,619 recordings; 10-fold CV iterative stratification; 50/60Hz notch filters; 500 Hz resampling."/>
        <s v="Pre-trained on 254,044 physician-annotated ECGs (UMCU); Fine-tuned on 42,511 Challenge ECGs."/>
        <s v="37,619 samples; 10s truncation; Db1 Wavelet decomposition (approximation coefficients) for specific variants."/>
        <s v="6 sub-databases; Excluding 4 pathologies with vague definitions (Brady, LQT, QAb, TInv)."/>
        <s v="24 target classes; 3rd order Butterworth/Notch filtering; 500 Hz resampling; 5-fold iterative stratification."/>
        <s v="43,101 signals; Augmentations: Signal Slicing, CutOut (35%), Channel Shifting, Gaussian Noise ( $20 \mu V$ ), Dropout (50%)."/>
        <s v="Georgia, CPSC, PTB-XL; 1-second representative heartbeat segmentation."/>
        <s v="43,101 recordings; Lead II template extraction (400 samples/cycle); 64/16/20 split."/>
        <s v="43,134 samples; 500 Hz resampling; 60s padding/truncation; Augmentation: random cropping."/>
        <s v="12-lead ECG; Kors transformation to XYZ leads; Dataset segmentation; 10-fold CV and leave-one-dataset-out."/>
        <s v="Reduced to 76 codes; 10 signals per arrhythmia (balanced strategy); Scalogram conversion."/>
        <s v="80/20 split; 257 Hz resampling; High-pass filter (0.5 Hz); Random offset augmentation."/>
        <s v="573 training samples; Preprocessing: 500 Hz resampling, Bandpass (0.05-42 Hz), Wavelet (Db4)."/>
        <s v="32,167 recordings (75% of total); 90/10 split; Padding; Truncation at 30s."/>
        <s v="37,619 samples; 10,000 sample trim/pad (20s at 500Hz); Conversion to physical units ( $mV$ )."/>
        <s v="43,135 recordings; 500 Hz resampling; Zero-padding to 18s; 5-fold CV."/>
        <s v="37,794 scored signals; 3/4 training split; 3000 sample truncation; 100 Hz downsampling."/>
        <s v="43,101 samples; Rare labels (&lt;1%) removed; Butterworth bandpass (0.1-30 Hz)."/>
        <s v="PhysioNet 2018 (994 PSG recordings); Features include  $SpO_{2}$  hypoxic burden and relative band energy."/>
        <s v="43,101 recordings; 111 types (24 scored); Wavelet denoising ('db4') and moving average."/>
        <s v="4 countries; 2nd order Butterworth (1.5-25 Hz); db4 wavelet; Metadata integration."/>
        <s v="37,134 records; 4.4M ECG beat images generated; 1.2s segments; 64x64 grayscale; db4 denoising."/>
        <s v="130,627 beats; 9 output classes (AF, 1AVB, LBBB, NSR, PAC, PVC, RBBB, STD, STE)."/>
        <s v="Pre-training: 1.2M+ MUSE records; Fine-tuning: 43,101 records; 250 Hz resampling; Butterworth filtering."/>
        <s v="6,720 valid records; 201,600 beats; Selective discarding for balance; 4 intercepted beats per input."/>
        <s v="43,101 ECGs; 10s windows; Max 10 heartbeats; Static features (Age, Sex, HR) + Time-varying spectral."/>
        <s v="Multicenter merge (42,511 total); 2.5s chunks; Online random lead zeroing ( $p=0.5$ )."/>
        <s v="6,877 recordings; Symlet wavelet decomposition and baseline detrending."/>
        <s v="12-lead ECG; Three 1800-point windows; 7 lead groupings; 1238 features including TDA and RR intervals."/>
        <s v="1000 Hz upsampling; 19s segments; Synthetic noise augmentation (Gaussian, baseline wander, pulses)."/>
        <s v="4 pooled sources; 80 Hz downsampling; Undersampling (30% normal removed); Random erasing/shifting."/>
        <s v="53,730 recordings; bSQI quality check; 500Hz resampling; Butterworth/Notch filtering."/>
        <s v="6 databases; 43,101 labeled ECGs; Baseline correction via median filters; 35 Hz low-pass filter."/>
        <s v="6 databases; Homogenized to 2500 samples; 80/20 train-validation split; 27 labels (treated as single-label)."/>
        <s v="40,000+ calibration records; 500 Hz resampling; Filtered 0.67-30 Hz; Signal quality filtering."/>
        <s v="43,101 subjects; 100 Hz downsampling; 0.05-20 Hz band-pass filter; fixed 10s segments."/>
      </sharedItems>
    </cacheField>
    <cacheField name="Hardware &amp; Framework Stack" numFmtId="0">
      <sharedItems>
        <s v="Google Cloud; NVIDIA T4; PyTorch; TensorFlow; MATLAB."/>
        <s v="Python; Bayesian Optimization library; Not in source."/>
        <s v="PyTorch; NVIDIA V100 GPU; 117 GB RAM; 4-core CPU."/>
        <s v="PyTorch; Cloud-training."/>
        <s v="PyTorch; NVIDIA V100 GPU; HPC Support (NIPA)."/>
        <s v="PyTorch (1.3); NVIDIA Titan Xp; Python (3.7)."/>
        <s v="PyTorch; NVIDIA 1080 Ti / RTX 8000."/>
        <s v="Not in source."/>
        <s v="LightGBM; PyTorch/TensorFlow (implied); Python."/>
        <s v="PyTorch; Tesla K40 GPU (AWS)."/>
        <s v="Keras; Python."/>
        <s v="Python; XGBoost; BioSPPy; NeuroKit2."/>
        <s v="MATLAB R2020a; Deep Learning Toolbox."/>
        <s v="TensorFlow 2.2.0."/>
        <s v="Python; FastAPI; PyTorch."/>
        <s v="Keras/TensorFlow; Kymatio; 2x 12GB GPUs."/>
        <s v="Linux; Intel Xeon; TITAN RTX; Keras/TensorFlow."/>
        <s v="Python 3.7; TensorFlow 2.3; Tesla T4 GPU."/>
        <s v="NVIDIA Quadro k6000; Keras; Python."/>
        <s v="Python; XGBoost."/>
        <s v="Miztli-UNAM Supercomputer; PyTorch (inferred)."/>
        <s v="TensorFlow 2.3.0; Keras."/>
        <s v="PyTorch (inferred); FIR filter."/>
        <s v="Hyperopt (Python); Not in source."/>
        <s v="NVIDIA Titan V; PyTorch; Python."/>
        <s v="Keras; Sklearn; Python."/>
        <s v="Python; RIPSER; Scikit-learn."/>
        <s v="Python; BioSPPy; iterative-stratification."/>
        <s v="Python; PyTorch; wavedet."/>
        <s v="Matlab 2020a; HRV toolbox; ECGkit."/>
        <s v="Intel Xeon; 32 GB RAM; Titan Xp; Keras."/>
        <s v="Keras with TensorFlow backend."/>
      </sharedItems>
    </cacheField>
    <cacheField name="Core Limitation / Failure Mode" numFmtId="0">
      <sharedItems>
        <s v="Sensitivity to sampling frequency; Performance drop (10%+) on hidden data; Class imbalance."/>
        <s v="Poor generalization to different data sources; High performance drop on low-frequency classes (PVC, PAC, Brady)."/>
        <s v="Rule-based module had low precision due to sub-optimal labels; U-Net segmentation failed to improve scores."/>
        <s v="Resource limits prevented use of records with unscored labels; 17% validation-to-test performance gap."/>
        <s v="Significant performance variance across databases (DB1: 0.688 vs DB3: 0.228)."/>
        <s v="Poor performance on rare classes (T-wave inversion, PVC); utilized only first 10 seconds of data."/>
        <s v="NAS model failed to receive official scores due to submission issues; High training time for NAS (20 hours)."/>
        <s v="Vague definitions of AFL/NSIVCB led to poor-quality features; Inconsistent bpm thresholds across databases."/>
        <s v="CRNN cannot easily benefit from domain adjustments; Lacks segmentation for locating regions in long recordings."/>
        <s v="High discrepancy between validation (0.656) and test (0.270) scores; BatchNorm issues with varying lengths."/>
        <s v="DL models (CNN/RNN) were prone to overfitting; Poor performance on PTB dataset ( $Score: -2.589$ )."/>
        <s v="Poor performance on biased data; Validation and test AUROC remained near chance levels ( $\sim 0.498$ )."/>
        <s v="High model complexity for ensemble; high-frequency feature suppression if using standard image kernels."/>
        <s v="Limited generalization (negative score on PTB); Independent binary decisions ignore inter-diagnosis dependencies."/>
        <s v="Limited training volume (10 signals per class) due to compute power; Low clinical viability at current accuracy."/>
        <s v="Hardware limited model depth; Significant performance drop (0.511 to 0.167); Class imbalance remained unresolved."/>
        <s v="Labels provided for 6 classes while model trained on 24; Discrepancy created false positives."/>
        <s v="Failed to converge on specific datasets; failed to submit Docker container for hidden test; 30s truncation."/>
        <s v="Low test score (0.077) due to time constraints for tuning; Ranked 32nd."/>
        <s v="Significant drop from Validation (0.395) to Test (-0.012); Ranked 34th."/>
        <s v="Poor sensitivity for minority classes; Negative score on hidden test set; Ranking 38th."/>
        <s v="MLP stream dominated the network, preventing CNN from learning; technical difficulties during submission led to rank 39th."/>
        <s v="Non-apnoea arousals harder to detect (69% sens) due to heterogeneity; High feature correlation (531 total)."/>
        <s v="Data imbalance significantly impacted scores; Results only on training set; Unable to score on hidden test."/>
        <s v="Significant score reduction (0.533 to 0.155) indicated overfitting; IT measures irrelevant for some conditions."/>
        <s v="Morphology similarity causes interference; difficulty differentiating classes with similar visual features."/>
        <s v="Excessive reliance on R-peak detection; Limited training (9 classes); Performance drop on hidden sets."/>
        <s v="Low performance on underrepresented classes (Brady, LPR); Significant drop from validation to test."/>
        <s v="Unable to score in hidden validation; Difficulty balancing noise as heartbeat count increases beyond 5."/>
        <s v="Failure to generalize across databases (Val 0.416 vs Test 0.024); Outcome-agnostic approach."/>
        <s v="Limited interpretability; Poor representation of rare conditions (e.g., PVC); Unable to obtain official test scores."/>
        <s v="Overlapping noise in 1-4 Hz band; Motion artifacts; Lack of compute for windowing segmentation."/>
        <s v="High computational cost of TDA; Low  $F_{1}$  scores; Generalizability concerns on specific test databases."/>
        <s v="Submission error/time constraints prevented test score; Sensitive to mislabeled training data."/>
        <s v="High rate of False Negatives/Positives; Performance degrades with increased rhythm classes."/>
        <s v="Low performance on classes with &lt;500 examples; Technical difficulties prevented hidden test score."/>
        <s v="Failed to distinguish rhythms with similar expressions (IRBBB vs RBBB); performance degraded at scale (24 classes)."/>
        <s v="Single-label prediction for multi-label problem; Predicted only 24 labels despite 27-label training."/>
        <s v="Low private test performance; Normal ECG detection via elimination led to high false positives."/>
        <s v="Fixed 10s input length ignores intermittent rhythms; drastic drop on Hidden Undisclosed Set (0.194)."/>
      </sharedItems>
    </cacheField>
    <cacheField name="Primary Benchmark Metrics" numFmtId="0">
      <sharedItems>
        <s v="Max Score: 1.0; Inactive Score: 0.0; Top participant  $S_{normalized}$ : 0.533."/>
        <s v="Validation CM: 0.696; Full Test CM: 0.202; Dice Coefficient: 0.571."/>
        <s v="Validation: 0.682; Full Test: 0.514; Offline 20% test: 0.683."/>
        <s v="Validation: 0.609; Full Test: 0.437; 5-fold CV: 0.629  $\pm$  0.003; AUROC: 0.64."/>
        <s v="Challenge Score: 0.695 (CV), 0.420 (Full Test);  $F_{2}$ : 0.696;  $G_{2}$ : 0.448."/>
        <s v="Challenge Score: 0.417 (Test), 0.565 (CV); AUROC: 0.915 (Test), 0.939 (CV)."/>
        <s v="RCNN: 62.3% (Val), 38.2% (Full Test); NAS: 64.4% (CV - no test score)."/>
        <s v="Challenge Score: 0.435 (Val), 0.354 (Full Test); AF  $F_{1}$ : 0.83; LBBB  $F_{1}$ : 0.697."/>
        <s v="5-fold CV: 0.593; Hidden Test: 0.281; Ensemble AUROC: 0.946 (vs CRNN 0.908, LGBM 0.935)."/>
        <s v="Validation: 0.656; Full Test: 0.270; AUROC: 0.947; Challenge Metric: 0.611."/>
        <s v="Official Score: 0.406; Full Test: 0.244; 5-fold CV: 0.402."/>
        <s v="Validation: 0.337; Test Score: 0.258; Macro AUROC: 0.498."/>
        <s v="Validation: 0.446; Full Test: 0.236 (Ranked 18th)."/>
        <s v="Validation: 0.576; Full Test: 0.233; AUROC: 0.822;  $F_{measure}$ : 0.298."/>
        <s v="Validation: 0.214; Full Test: 0.205; Training Accuracy: 83-98%."/>
        <s v="Validation Score: 0.511; Full Test: 0.167; Local Validation (optimized): 0.573."/>
        <s v="Challenge Metric: 0.136 (Rank 28th); R-Peak  $F_{1}$ : 0.943; AF  $F_{1}$ : 0.87."/>
        <s v="Mean 10-fold CV Score: 0.536  $\pm$  0.012; Validation: 0.540  $\pm$  0.016."/>
        <s v="Validation: 0.342; Full Test Score: 0.077; AUROC: 0.599."/>
        <s v="Challenge Metric: 0.627 (CV), 0.395 (Val), -0.012 (Test)."/>
        <s v="Validation Score: 0.368; Full Test: -0.128; Validation Accuracy: 0.54."/>
        <s v="Test Score: -0.290; Validation: 0.403; Offline weighted average: 0.612."/>
        <s v="Two-class: AUROC 0.91, AUPRC 0.74; Three-class: VUROS 0.75."/>
        <s v="Challenge Metric: 0.5501; AUROC: 0.9486; AUPRC: 0.5615;  $F_{2}$ : 0.5765."/>
        <s v="Challenge Score: 0.155 (Test), 0.533 (Val); With IT vs Without: AUPRC 0.55 vs 0.512."/>
        <s v="$F_{1}$ -score: 0.825; Unofficial S-score: 0.766; Specificity: 91.57%."/>
        <s v="Training:  $F_{\beta}$  0.933,  $G_{\beta}$  0.811; Validation:  $F_{\beta}$  0.654,  $G_{\beta}$  0.372."/>
        <s v="Challenge Val: 0.616; Official Test: 0.141; MUSE Val AUROC: 0.83 to 0.99."/>
        <s v="Challenge Score: 0.703 (5-fold CV); LSTM baseline: 0.5937; SVM baseline: 0.5611."/>
        <s v="Validation Score: 0.416; Full Test: 0.024; Database 1: 0.513."/>
        <s v="Metric: 0.5183 (InceptionTime), 0.5180 (XResNet 50); AUROC: 0.9400 (ResNet)."/>
        <s v="Challenge Score: 0.22 (Avg over K-fold); Accuracy/Precision/F-measure."/>
        <s v="Validation Score: 0.304; Full Test Score: -0.113; Average 3-fold CV AUROC: 0.846."/>
        <s v="CV Mean: 0.630; CV Fold Max: 0.644; CV Fold Min: 0.614; Official Test: -0.406 (Submission Error)."/>
        <s v="Challenge Metric Score: 0.328 (Offline validation)."/>
        <s v="Local Test Challenge Score: FE=0.65, DL=0.52, EL=0.66; CV: EL=0.66  $\pm$  0.03."/>
        <s v="Phase 1 Accuracy: 94.4%; Phase 2 Challenge Metric: 0.030; Phase 2 Accuracy: 15.0%."/>
        <s v="Val Challenge: 0.305; Full Test Challenge: -0.035; Val AUROC: 0.825."/>
        <s v="Val Score: 0.241; Private Test: -0.179; QRS recall for RBBB: 0.93."/>
        <s v="CV Challenge: 0.621; Val: 0.616; Full Test: 0.370; Hidden CPSC Set: 0.758."/>
      </sharedItems>
    </cacheField>
    <cacheField name="Performance Score" numFmtId="0">
      <sharedItems containsSemiMixedTypes="0" containsString="0" containsNumber="1">
        <n v="0.533"/>
        <n v="0.202"/>
        <n v="0.514"/>
        <n v="0.437"/>
        <n v="0.42"/>
        <n v="0.417"/>
        <n v="0.382"/>
        <n v="0.354"/>
        <n v="0.281"/>
        <n v="0.27"/>
        <n v="0.244"/>
        <n v="0.258"/>
        <n v="0.236"/>
        <n v="0.233"/>
        <n v="0.205"/>
        <n v="0.167"/>
        <n v="0.136"/>
        <n v="0.536"/>
        <n v="0.077"/>
        <n v="-0.012"/>
        <n v="-0.128"/>
        <n v="-0.29"/>
        <n v="0.75"/>
        <n v="0.55"/>
        <n v="0.155"/>
        <n v="0.766"/>
        <n v="0.654"/>
        <n v="0.141"/>
        <n v="0.703"/>
        <n v="0.024"/>
        <n v="0.518"/>
        <n v="0.22"/>
        <n v="-0.113"/>
        <n v="-0.406"/>
        <n v="0.328"/>
        <n v="0.66"/>
        <n v="0.03"/>
        <n v="-0.035"/>
        <n v="-0.179"/>
        <n v="0.3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compact="0" compactData="0">
  <location ref="J1:K30" firstHeaderRow="0" firstDataRow="1" firstDataCol="0"/>
  <pivotFields>
    <pivotField name="Paper ID / Title / Auth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re Paradigm" axis="axisRow" compact="0" outline="0" multipleItemSelectionAllowed="1" showAll="0" sortType="ascending">
      <items>
        <item x="4"/>
        <item x="16"/>
        <item x="20"/>
        <item x="1"/>
        <item x="9"/>
        <item x="12"/>
        <item x="24"/>
        <item x="11"/>
        <item x="21"/>
        <item x="7"/>
        <item x="25"/>
        <item x="15"/>
        <item x="3"/>
        <item x="5"/>
        <item x="2"/>
        <item x="14"/>
        <item x="27"/>
        <item x="26"/>
        <item x="22"/>
        <item x="17"/>
        <item x="8"/>
        <item x="10"/>
        <item x="0"/>
        <item x="18"/>
        <item x="6"/>
        <item x="23"/>
        <item x="13"/>
        <item x="19"/>
        <item t="default"/>
      </items>
    </pivotField>
    <pivotField name="Base Model / Backb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ata Strategy &amp; 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ardware &amp; Framework S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re Limitation / Failure M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ary Benchmark Metr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erformance 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1"/>
  </rowFields>
  <dataFields>
    <dataField name="Average Score" fld="7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compact="0" compactData="0">
  <location ref="N1:O42" firstHeaderRow="0" firstDataRow="1" firstDataCol="0"/>
  <pivotFields>
    <pivotField name="Paper ID / Title / Autho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re Paradi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se Model / Backbone" axis="axisRow" compact="0" outline="0" multipleItemSelectionAllowed="1" showAll="0" sortType="ascending">
      <items>
        <item x="15"/>
        <item x="19"/>
        <item x="38"/>
        <item x="22"/>
        <item x="29"/>
        <item x="10"/>
        <item x="5"/>
        <item x="31"/>
        <item x="11"/>
        <item x="18"/>
        <item x="23"/>
        <item x="39"/>
        <item x="6"/>
        <item x="26"/>
        <item x="37"/>
        <item x="21"/>
        <item x="9"/>
        <item x="27"/>
        <item x="16"/>
        <item x="28"/>
        <item x="7"/>
        <item x="8"/>
        <item x="30"/>
        <item x="1"/>
        <item x="14"/>
        <item x="25"/>
        <item x="33"/>
        <item x="3"/>
        <item x="34"/>
        <item x="12"/>
        <item x="35"/>
        <item x="17"/>
        <item x="2"/>
        <item x="36"/>
        <item x="32"/>
        <item x="0"/>
        <item x="20"/>
        <item x="4"/>
        <item x="13"/>
        <item x="24"/>
        <item t="default"/>
      </items>
    </pivotField>
    <pivotField name="Data Strategy &amp; 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ardware &amp; Framework S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re Limitation / Failure M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ary Benchmark Metr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2"/>
  </rowFields>
  <dataFields>
    <dataField name="Count" fld="0" subtotal="count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Calc_Data 3" cacheId="0" dataCaption="" compact="0" compactData="0">
  <location ref="R1:S34" firstHeaderRow="0" firstDataRow="1" firstDataCol="0"/>
  <pivotFields>
    <pivotField name="Paper ID / Title / Autho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re Paradi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se Model / Backb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ata Strategy &amp; 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ardware &amp; Framework Stack" axis="axisRow" compact="0" outline="0" multipleItemSelectionAllowed="1" showAll="0" sortType="ascending">
      <items>
        <item x="0"/>
        <item x="23"/>
        <item x="30"/>
        <item x="31"/>
        <item x="10"/>
        <item x="25"/>
        <item x="15"/>
        <item x="8"/>
        <item x="16"/>
        <item x="29"/>
        <item x="12"/>
        <item x="20"/>
        <item x="7"/>
        <item x="18"/>
        <item x="24"/>
        <item x="17"/>
        <item x="1"/>
        <item x="27"/>
        <item x="14"/>
        <item x="28"/>
        <item x="26"/>
        <item x="11"/>
        <item x="19"/>
        <item x="5"/>
        <item x="22"/>
        <item x="3"/>
        <item x="6"/>
        <item x="2"/>
        <item x="4"/>
        <item x="9"/>
        <item x="13"/>
        <item x="21"/>
        <item t="default"/>
      </items>
    </pivotField>
    <pivotField name="Core Limitation / Failure M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ary Benchmark Metr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4"/>
  </rowFields>
  <dataFields>
    <dataField name="Count" fld="0" subtotal="count" baseField="0"/>
  </dataFields>
  <pivotTableStyleInfo name="Google Sheets Pivot Table Style" showRowHeaders="1" showColHeaders="1" showLastColumn="1"/>
</pivotTableDefinition>
</file>

<file path=xl/pivotTables/pivotTable4.xml><?xml version="1.0" encoding="utf-8"?>
<pivotTableDefinition xmlns="http://schemas.openxmlformats.org/spreadsheetml/2006/main" name="Calc_Data 4" cacheId="0" dataCaption="" compact="0" compactData="0">
  <location ref="V1:W42" firstHeaderRow="0" firstDataRow="1" firstDataCol="0"/>
  <pivotFields>
    <pivotField name="Paper ID / Title / Autho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re Paradi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se Model / Backb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ata Strategy &amp; Volume" axis="axisRow" compact="0" outline="0" multipleItemSelectionAllowed="1" showAll="0" sortType="ascending">
      <items>
        <item x="33"/>
        <item x="13"/>
        <item x="32"/>
        <item x="26"/>
        <item x="8"/>
        <item x="17"/>
        <item x="25"/>
        <item x="4"/>
        <item x="18"/>
        <item x="6"/>
        <item x="20"/>
        <item x="24"/>
        <item x="34"/>
        <item x="38"/>
        <item x="29"/>
        <item x="23"/>
        <item x="1"/>
        <item x="11"/>
        <item x="21"/>
        <item x="3"/>
        <item x="9"/>
        <item x="2"/>
        <item x="39"/>
        <item x="12"/>
        <item x="19"/>
        <item x="35"/>
        <item x="16"/>
        <item x="36"/>
        <item x="37"/>
        <item x="7"/>
        <item x="28"/>
        <item x="31"/>
        <item x="0"/>
        <item x="15"/>
        <item x="10"/>
        <item x="30"/>
        <item x="22"/>
        <item x="5"/>
        <item x="27"/>
        <item x="14"/>
        <item t="default"/>
      </items>
    </pivotField>
    <pivotField name="Hardware &amp; Framework S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re Limitation / Failure M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rimary Benchmark Metr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3"/>
  </rowFields>
  <dataFields>
    <dataField name="Count" fld="0" subtotal="count" baseField="0"/>
  </dataFields>
  <pivotTableStyleInfo name="Google Sheets Pivot Table Style" showRowHeaders="1" showColHeaders="1" showLastColumn="1"/>
</pivotTableDefinition>
</file>

<file path=xl/pivotTables/pivotTable5.xml><?xml version="1.0" encoding="utf-8"?>
<pivotTableDefinition xmlns="http://schemas.openxmlformats.org/spreadsheetml/2006/main" name="Calc_Data 5" cacheId="0" dataCaption="" compact="0" compactData="0">
  <location ref="Z1:AA42" firstHeaderRow="0" firstDataRow="1" firstDataCol="0"/>
  <pivotFields>
    <pivotField name="Paper ID / Title / Autho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ore Paradig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Base Model / Backb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Data Strategy &amp; 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Hardware &amp; Framework Sta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ore Limitation / Failure Mode" axis="axisRow" compact="0" outline="0" multipleItemSelectionAllowed="1" showAll="0" sortType="ascending">
      <items>
        <item x="8"/>
        <item x="23"/>
        <item x="10"/>
        <item x="26"/>
        <item x="17"/>
        <item x="36"/>
        <item x="29"/>
        <item x="39"/>
        <item x="15"/>
        <item x="32"/>
        <item x="9"/>
        <item x="12"/>
        <item x="34"/>
        <item x="16"/>
        <item x="13"/>
        <item x="30"/>
        <item x="14"/>
        <item x="35"/>
        <item x="27"/>
        <item x="38"/>
        <item x="18"/>
        <item x="21"/>
        <item x="25"/>
        <item x="6"/>
        <item x="22"/>
        <item x="31"/>
        <item x="1"/>
        <item x="11"/>
        <item x="5"/>
        <item x="20"/>
        <item x="3"/>
        <item x="2"/>
        <item x="0"/>
        <item x="19"/>
        <item x="4"/>
        <item x="24"/>
        <item x="37"/>
        <item x="33"/>
        <item x="28"/>
        <item x="7"/>
        <item t="default"/>
      </items>
    </pivotField>
    <pivotField name="Primary Benchmark Metric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erformance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5"/>
  </rowFields>
  <dataFields>
    <dataField name="Count" fld="0" subtotal="count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2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2" t="s">
        <v>38</v>
      </c>
    </row>
    <row r="4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2" t="s">
        <v>51</v>
      </c>
    </row>
    <row r="5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J5" s="1" t="s">
        <v>61</v>
      </c>
      <c r="K5" s="1" t="s">
        <v>62</v>
      </c>
      <c r="L5" s="1" t="s">
        <v>63</v>
      </c>
      <c r="M5" s="2" t="s">
        <v>64</v>
      </c>
    </row>
    <row r="6">
      <c r="A6" s="1" t="s">
        <v>65</v>
      </c>
      <c r="B6" s="1" t="s">
        <v>27</v>
      </c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2" t="s">
        <v>76</v>
      </c>
    </row>
    <row r="7">
      <c r="A7" s="1" t="s">
        <v>77</v>
      </c>
      <c r="B7" s="1" t="s">
        <v>78</v>
      </c>
      <c r="C7" s="1" t="s">
        <v>79</v>
      </c>
      <c r="D7" s="1" t="s">
        <v>80</v>
      </c>
      <c r="E7" s="1" t="s">
        <v>81</v>
      </c>
      <c r="F7" s="1" t="s">
        <v>82</v>
      </c>
      <c r="G7" s="1" t="s">
        <v>83</v>
      </c>
      <c r="H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2" t="s">
        <v>89</v>
      </c>
    </row>
    <row r="8">
      <c r="A8" s="1" t="s">
        <v>90</v>
      </c>
      <c r="B8" s="1" t="s">
        <v>91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  <c r="J8" s="1" t="s">
        <v>99</v>
      </c>
      <c r="K8" s="1" t="s">
        <v>100</v>
      </c>
      <c r="L8" s="1" t="s">
        <v>101</v>
      </c>
      <c r="M8" s="2" t="s">
        <v>102</v>
      </c>
    </row>
    <row r="9">
      <c r="A9" s="1" t="s">
        <v>103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108</v>
      </c>
      <c r="G9" s="1" t="s">
        <v>109</v>
      </c>
      <c r="H9" s="1" t="s">
        <v>59</v>
      </c>
      <c r="I9" s="1" t="s">
        <v>110</v>
      </c>
      <c r="J9" s="1" t="s">
        <v>59</v>
      </c>
      <c r="K9" s="1" t="s">
        <v>111</v>
      </c>
      <c r="L9" s="1" t="s">
        <v>112</v>
      </c>
      <c r="M9" s="2" t="s">
        <v>113</v>
      </c>
    </row>
    <row r="10">
      <c r="A10" s="1" t="s">
        <v>114</v>
      </c>
      <c r="B10" s="1" t="s">
        <v>115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120</v>
      </c>
      <c r="H10" s="1" t="s">
        <v>59</v>
      </c>
      <c r="I10" s="1" t="s">
        <v>121</v>
      </c>
      <c r="J10" s="1" t="s">
        <v>122</v>
      </c>
      <c r="K10" s="1" t="s">
        <v>123</v>
      </c>
      <c r="L10" s="1" t="s">
        <v>124</v>
      </c>
      <c r="M10" s="2" t="s">
        <v>125</v>
      </c>
    </row>
    <row r="11">
      <c r="A11" s="1" t="s">
        <v>126</v>
      </c>
      <c r="B11" s="1" t="s">
        <v>27</v>
      </c>
      <c r="C11" s="1" t="s">
        <v>127</v>
      </c>
      <c r="D11" s="1" t="s">
        <v>128</v>
      </c>
      <c r="E11" s="1" t="s">
        <v>129</v>
      </c>
      <c r="F11" s="1" t="s">
        <v>130</v>
      </c>
      <c r="G11" s="1" t="s">
        <v>131</v>
      </c>
      <c r="H11" s="1" t="s">
        <v>132</v>
      </c>
      <c r="I11" s="1" t="s">
        <v>133</v>
      </c>
      <c r="J11" s="1" t="s">
        <v>134</v>
      </c>
      <c r="K11" s="1" t="s">
        <v>135</v>
      </c>
      <c r="L11" s="1" t="s">
        <v>136</v>
      </c>
      <c r="M11" s="2" t="s">
        <v>137</v>
      </c>
    </row>
    <row r="12">
      <c r="A12" s="1" t="s">
        <v>138</v>
      </c>
      <c r="B12" s="1" t="s">
        <v>139</v>
      </c>
      <c r="C12" s="1" t="s">
        <v>140</v>
      </c>
      <c r="D12" s="1" t="s">
        <v>141</v>
      </c>
      <c r="E12" s="1" t="s">
        <v>142</v>
      </c>
      <c r="F12" s="1" t="s">
        <v>143</v>
      </c>
      <c r="G12" s="1" t="s">
        <v>144</v>
      </c>
      <c r="H12" s="1" t="s">
        <v>145</v>
      </c>
      <c r="I12" s="1" t="s">
        <v>146</v>
      </c>
      <c r="J12" s="1" t="s">
        <v>59</v>
      </c>
      <c r="K12" s="1" t="s">
        <v>147</v>
      </c>
      <c r="L12" s="1" t="s">
        <v>148</v>
      </c>
      <c r="M12" s="2" t="s">
        <v>149</v>
      </c>
    </row>
    <row r="13">
      <c r="A13" s="1" t="s">
        <v>150</v>
      </c>
      <c r="B13" s="1" t="s">
        <v>151</v>
      </c>
      <c r="C13" s="1" t="s">
        <v>152</v>
      </c>
      <c r="D13" s="1" t="s">
        <v>153</v>
      </c>
      <c r="E13" s="1" t="s">
        <v>154</v>
      </c>
      <c r="F13" s="1" t="s">
        <v>155</v>
      </c>
      <c r="G13" s="1" t="s">
        <v>156</v>
      </c>
      <c r="H13" s="1" t="s">
        <v>157</v>
      </c>
      <c r="I13" s="1" t="s">
        <v>158</v>
      </c>
      <c r="J13" s="1" t="s">
        <v>159</v>
      </c>
      <c r="K13" s="1" t="s">
        <v>160</v>
      </c>
      <c r="L13" s="1" t="s">
        <v>161</v>
      </c>
      <c r="M13" s="2" t="s">
        <v>162</v>
      </c>
    </row>
    <row r="14">
      <c r="A14" s="1" t="s">
        <v>163</v>
      </c>
      <c r="B14" s="1" t="s">
        <v>27</v>
      </c>
      <c r="C14" s="1" t="s">
        <v>164</v>
      </c>
      <c r="D14" s="1" t="s">
        <v>165</v>
      </c>
      <c r="E14" s="1" t="s">
        <v>166</v>
      </c>
      <c r="F14" s="1" t="s">
        <v>167</v>
      </c>
      <c r="G14" s="1" t="s">
        <v>168</v>
      </c>
      <c r="H14" s="1" t="s">
        <v>169</v>
      </c>
      <c r="I14" s="1" t="s">
        <v>170</v>
      </c>
      <c r="J14" s="1" t="s">
        <v>59</v>
      </c>
      <c r="K14" s="1" t="s">
        <v>171</v>
      </c>
      <c r="L14" s="1" t="s">
        <v>172</v>
      </c>
      <c r="M14" s="2" t="s">
        <v>173</v>
      </c>
    </row>
    <row r="15">
      <c r="A15" s="1" t="s">
        <v>174</v>
      </c>
      <c r="B15" s="1" t="s">
        <v>175</v>
      </c>
      <c r="C15" s="1" t="s">
        <v>176</v>
      </c>
      <c r="D15" s="1" t="s">
        <v>177</v>
      </c>
      <c r="E15" s="1" t="s">
        <v>178</v>
      </c>
      <c r="F15" s="1" t="s">
        <v>179</v>
      </c>
      <c r="G15" s="1" t="s">
        <v>180</v>
      </c>
      <c r="H15" s="1" t="s">
        <v>181</v>
      </c>
      <c r="I15" s="1" t="s">
        <v>182</v>
      </c>
      <c r="J15" s="1" t="s">
        <v>183</v>
      </c>
      <c r="K15" s="1" t="s">
        <v>184</v>
      </c>
      <c r="L15" s="1" t="s">
        <v>185</v>
      </c>
      <c r="M15" s="2" t="s">
        <v>186</v>
      </c>
    </row>
    <row r="16">
      <c r="A16" s="1" t="s">
        <v>187</v>
      </c>
      <c r="B16" s="1" t="s">
        <v>188</v>
      </c>
      <c r="C16" s="1" t="s">
        <v>189</v>
      </c>
      <c r="D16" s="1" t="s">
        <v>190</v>
      </c>
      <c r="E16" s="1" t="s">
        <v>191</v>
      </c>
      <c r="F16" s="1" t="s">
        <v>192</v>
      </c>
      <c r="G16" s="1" t="s">
        <v>193</v>
      </c>
      <c r="H16" s="1" t="s">
        <v>194</v>
      </c>
      <c r="I16" s="1" t="s">
        <v>195</v>
      </c>
      <c r="J16" s="1" t="s">
        <v>196</v>
      </c>
      <c r="K16" s="1" t="s">
        <v>197</v>
      </c>
      <c r="L16" s="1" t="s">
        <v>198</v>
      </c>
      <c r="M16" s="2" t="s">
        <v>199</v>
      </c>
    </row>
    <row r="17">
      <c r="A17" s="1" t="s">
        <v>200</v>
      </c>
      <c r="B17" s="1" t="s">
        <v>201</v>
      </c>
      <c r="C17" s="1" t="s">
        <v>202</v>
      </c>
      <c r="D17" s="1" t="s">
        <v>203</v>
      </c>
      <c r="E17" s="1" t="s">
        <v>204</v>
      </c>
      <c r="F17" s="1" t="s">
        <v>205</v>
      </c>
      <c r="G17" s="1" t="s">
        <v>206</v>
      </c>
      <c r="H17" s="1" t="s">
        <v>207</v>
      </c>
      <c r="I17" s="1" t="s">
        <v>208</v>
      </c>
      <c r="J17" s="1" t="s">
        <v>209</v>
      </c>
      <c r="K17" s="1" t="s">
        <v>210</v>
      </c>
      <c r="L17" s="1" t="s">
        <v>211</v>
      </c>
      <c r="M17" s="2" t="s">
        <v>212</v>
      </c>
    </row>
    <row r="18">
      <c r="A18" s="1" t="s">
        <v>213</v>
      </c>
      <c r="B18" s="1" t="s">
        <v>214</v>
      </c>
      <c r="C18" s="1" t="s">
        <v>215</v>
      </c>
      <c r="D18" s="1" t="s">
        <v>216</v>
      </c>
      <c r="E18" s="1" t="s">
        <v>217</v>
      </c>
      <c r="F18" s="1" t="s">
        <v>218</v>
      </c>
      <c r="G18" s="1" t="s">
        <v>219</v>
      </c>
      <c r="H18" s="1" t="s">
        <v>220</v>
      </c>
      <c r="I18" s="1" t="s">
        <v>221</v>
      </c>
      <c r="J18" s="1" t="s">
        <v>222</v>
      </c>
      <c r="K18" s="1" t="s">
        <v>223</v>
      </c>
      <c r="L18" s="1" t="s">
        <v>224</v>
      </c>
      <c r="M18" s="2" t="s">
        <v>225</v>
      </c>
    </row>
    <row r="19">
      <c r="A19" s="1" t="s">
        <v>226</v>
      </c>
      <c r="B19" s="1" t="s">
        <v>227</v>
      </c>
      <c r="C19" s="1" t="s">
        <v>228</v>
      </c>
      <c r="D19" s="1" t="s">
        <v>229</v>
      </c>
      <c r="E19" s="1" t="s">
        <v>230</v>
      </c>
      <c r="F19" s="1" t="s">
        <v>231</v>
      </c>
      <c r="G19" s="1" t="s">
        <v>232</v>
      </c>
      <c r="H19" s="1" t="s">
        <v>233</v>
      </c>
      <c r="I19" s="1" t="s">
        <v>234</v>
      </c>
      <c r="J19" s="1" t="s">
        <v>235</v>
      </c>
      <c r="K19" s="1" t="s">
        <v>236</v>
      </c>
      <c r="L19" s="1" t="s">
        <v>237</v>
      </c>
      <c r="M19" s="2" t="s">
        <v>238</v>
      </c>
    </row>
    <row r="20">
      <c r="A20" s="1" t="s">
        <v>239</v>
      </c>
      <c r="B20" s="1" t="s">
        <v>27</v>
      </c>
      <c r="C20" s="1" t="s">
        <v>240</v>
      </c>
      <c r="D20" s="1" t="s">
        <v>241</v>
      </c>
      <c r="E20" s="1" t="s">
        <v>242</v>
      </c>
      <c r="F20" s="1" t="s">
        <v>243</v>
      </c>
      <c r="G20" s="1" t="s">
        <v>244</v>
      </c>
      <c r="H20" s="1" t="s">
        <v>245</v>
      </c>
      <c r="I20" s="1" t="s">
        <v>246</v>
      </c>
      <c r="J20" s="1" t="s">
        <v>247</v>
      </c>
      <c r="K20" s="1" t="s">
        <v>248</v>
      </c>
      <c r="L20" s="1" t="s">
        <v>249</v>
      </c>
      <c r="M20" s="2" t="s">
        <v>250</v>
      </c>
    </row>
    <row r="21">
      <c r="A21" s="1" t="s">
        <v>251</v>
      </c>
      <c r="B21" s="1" t="s">
        <v>252</v>
      </c>
      <c r="C21" s="1" t="s">
        <v>253</v>
      </c>
      <c r="D21" s="1" t="s">
        <v>254</v>
      </c>
      <c r="E21" s="1" t="s">
        <v>255</v>
      </c>
      <c r="F21" s="1" t="s">
        <v>256</v>
      </c>
      <c r="G21" s="1" t="s">
        <v>257</v>
      </c>
      <c r="H21" s="1" t="s">
        <v>258</v>
      </c>
      <c r="I21" s="1" t="s">
        <v>259</v>
      </c>
      <c r="J21" s="1" t="s">
        <v>59</v>
      </c>
      <c r="K21" s="1" t="s">
        <v>260</v>
      </c>
      <c r="L21" s="1" t="s">
        <v>261</v>
      </c>
      <c r="M21" s="2" t="s">
        <v>262</v>
      </c>
    </row>
    <row r="22">
      <c r="A22" s="1" t="s">
        <v>263</v>
      </c>
      <c r="B22" s="1" t="s">
        <v>264</v>
      </c>
      <c r="C22" s="1" t="s">
        <v>265</v>
      </c>
      <c r="D22" s="1" t="s">
        <v>266</v>
      </c>
      <c r="E22" s="1" t="s">
        <v>267</v>
      </c>
      <c r="F22" s="1" t="s">
        <v>268</v>
      </c>
      <c r="G22" s="1" t="s">
        <v>269</v>
      </c>
      <c r="H22" s="1" t="s">
        <v>270</v>
      </c>
      <c r="I22" s="1" t="s">
        <v>271</v>
      </c>
      <c r="J22" s="1" t="s">
        <v>272</v>
      </c>
      <c r="K22" s="1" t="s">
        <v>273</v>
      </c>
      <c r="L22" s="1" t="s">
        <v>274</v>
      </c>
      <c r="M22" s="2" t="s">
        <v>275</v>
      </c>
    </row>
    <row r="23">
      <c r="A23" s="1" t="s">
        <v>276</v>
      </c>
      <c r="B23" s="1" t="s">
        <v>277</v>
      </c>
      <c r="C23" s="1" t="s">
        <v>278</v>
      </c>
      <c r="D23" s="1" t="s">
        <v>279</v>
      </c>
      <c r="E23" s="1" t="s">
        <v>280</v>
      </c>
      <c r="F23" s="1" t="s">
        <v>281</v>
      </c>
      <c r="G23" s="1" t="s">
        <v>282</v>
      </c>
      <c r="H23" s="1" t="s">
        <v>283</v>
      </c>
      <c r="I23" s="1" t="s">
        <v>284</v>
      </c>
      <c r="J23" s="1" t="s">
        <v>59</v>
      </c>
      <c r="K23" s="1" t="s">
        <v>285</v>
      </c>
      <c r="L23" s="1" t="s">
        <v>286</v>
      </c>
      <c r="M23" s="2" t="s">
        <v>287</v>
      </c>
    </row>
    <row r="24">
      <c r="A24" s="1" t="s">
        <v>288</v>
      </c>
      <c r="B24" s="1" t="s">
        <v>289</v>
      </c>
      <c r="C24" s="1" t="s">
        <v>290</v>
      </c>
      <c r="D24" s="1" t="s">
        <v>291</v>
      </c>
      <c r="E24" s="1" t="s">
        <v>292</v>
      </c>
      <c r="F24" s="1" t="s">
        <v>293</v>
      </c>
      <c r="G24" s="1" t="s">
        <v>294</v>
      </c>
      <c r="H24" s="1" t="s">
        <v>295</v>
      </c>
      <c r="I24" s="1" t="s">
        <v>296</v>
      </c>
      <c r="J24" s="1" t="s">
        <v>59</v>
      </c>
      <c r="K24" s="1" t="s">
        <v>297</v>
      </c>
      <c r="L24" s="1" t="s">
        <v>298</v>
      </c>
      <c r="M24" s="2" t="s">
        <v>299</v>
      </c>
    </row>
    <row r="25">
      <c r="A25" s="1" t="s">
        <v>300</v>
      </c>
      <c r="B25" s="1" t="s">
        <v>27</v>
      </c>
      <c r="C25" s="1" t="s">
        <v>301</v>
      </c>
      <c r="D25" s="1" t="s">
        <v>302</v>
      </c>
      <c r="E25" s="1" t="s">
        <v>303</v>
      </c>
      <c r="F25" s="1" t="s">
        <v>304</v>
      </c>
      <c r="G25" s="1" t="s">
        <v>305</v>
      </c>
      <c r="H25" s="1" t="s">
        <v>306</v>
      </c>
      <c r="I25" s="1" t="s">
        <v>307</v>
      </c>
      <c r="J25" s="1" t="s">
        <v>308</v>
      </c>
      <c r="K25" s="1" t="s">
        <v>309</v>
      </c>
      <c r="L25" s="1" t="s">
        <v>310</v>
      </c>
      <c r="M25" s="2" t="s">
        <v>311</v>
      </c>
    </row>
    <row r="26">
      <c r="A26" s="1" t="s">
        <v>312</v>
      </c>
      <c r="B26" s="1" t="s">
        <v>313</v>
      </c>
      <c r="C26" s="1" t="s">
        <v>314</v>
      </c>
      <c r="D26" s="1" t="s">
        <v>315</v>
      </c>
      <c r="E26" s="1" t="s">
        <v>316</v>
      </c>
      <c r="F26" s="1" t="s">
        <v>317</v>
      </c>
      <c r="G26" s="1" t="s">
        <v>318</v>
      </c>
      <c r="H26" s="1" t="s">
        <v>59</v>
      </c>
      <c r="I26" s="2" t="s">
        <v>319</v>
      </c>
      <c r="J26" s="1" t="s">
        <v>320</v>
      </c>
      <c r="K26" s="1" t="s">
        <v>321</v>
      </c>
      <c r="L26" s="1" t="s">
        <v>322</v>
      </c>
      <c r="M26" s="2" t="s">
        <v>323</v>
      </c>
    </row>
    <row r="27">
      <c r="A27" s="1" t="s">
        <v>324</v>
      </c>
      <c r="B27" s="1" t="s">
        <v>27</v>
      </c>
      <c r="C27" s="1" t="s">
        <v>325</v>
      </c>
      <c r="D27" s="1" t="s">
        <v>326</v>
      </c>
      <c r="E27" s="1" t="s">
        <v>327</v>
      </c>
      <c r="F27" s="1" t="s">
        <v>328</v>
      </c>
      <c r="G27" s="1" t="s">
        <v>329</v>
      </c>
      <c r="H27" s="1" t="s">
        <v>330</v>
      </c>
      <c r="I27" s="1" t="s">
        <v>331</v>
      </c>
      <c r="J27" s="1" t="s">
        <v>332</v>
      </c>
      <c r="K27" s="1" t="s">
        <v>333</v>
      </c>
      <c r="L27" s="1" t="s">
        <v>334</v>
      </c>
      <c r="M27" s="2" t="s">
        <v>335</v>
      </c>
    </row>
    <row r="28">
      <c r="A28" s="1" t="s">
        <v>336</v>
      </c>
      <c r="B28" s="1" t="s">
        <v>337</v>
      </c>
      <c r="C28" s="1" t="s">
        <v>338</v>
      </c>
      <c r="D28" s="1" t="s">
        <v>339</v>
      </c>
      <c r="E28" s="1" t="s">
        <v>340</v>
      </c>
      <c r="F28" s="1" t="s">
        <v>341</v>
      </c>
      <c r="G28" s="1" t="s">
        <v>342</v>
      </c>
      <c r="H28" s="1" t="s">
        <v>343</v>
      </c>
      <c r="I28" s="1" t="s">
        <v>344</v>
      </c>
      <c r="J28" s="1" t="s">
        <v>59</v>
      </c>
      <c r="K28" s="1" t="s">
        <v>345</v>
      </c>
      <c r="L28" s="1" t="s">
        <v>346</v>
      </c>
      <c r="M28" s="2" t="s">
        <v>347</v>
      </c>
    </row>
    <row r="29">
      <c r="A29" s="1" t="s">
        <v>348</v>
      </c>
      <c r="B29" s="1" t="s">
        <v>349</v>
      </c>
      <c r="C29" s="1" t="s">
        <v>350</v>
      </c>
      <c r="D29" s="1" t="s">
        <v>351</v>
      </c>
      <c r="E29" s="1" t="s">
        <v>352</v>
      </c>
      <c r="F29" s="1" t="s">
        <v>353</v>
      </c>
      <c r="G29" s="1" t="s">
        <v>354</v>
      </c>
      <c r="H29" s="1" t="s">
        <v>59</v>
      </c>
      <c r="I29" s="1" t="s">
        <v>355</v>
      </c>
      <c r="J29" s="1" t="s">
        <v>356</v>
      </c>
      <c r="K29" s="1" t="s">
        <v>357</v>
      </c>
      <c r="L29" s="1" t="s">
        <v>358</v>
      </c>
      <c r="M29" s="2" t="s">
        <v>359</v>
      </c>
    </row>
    <row r="30">
      <c r="A30" s="1" t="s">
        <v>360</v>
      </c>
      <c r="B30" s="1" t="s">
        <v>27</v>
      </c>
      <c r="C30" s="1" t="s">
        <v>361</v>
      </c>
      <c r="D30" s="1" t="s">
        <v>362</v>
      </c>
      <c r="E30" s="1" t="s">
        <v>363</v>
      </c>
      <c r="F30" s="1" t="s">
        <v>364</v>
      </c>
      <c r="G30" s="1" t="s">
        <v>365</v>
      </c>
      <c r="H30" s="1" t="s">
        <v>366</v>
      </c>
      <c r="I30" s="1" t="s">
        <v>367</v>
      </c>
      <c r="J30" s="1" t="s">
        <v>368</v>
      </c>
      <c r="K30" s="1" t="s">
        <v>369</v>
      </c>
      <c r="L30" s="1" t="s">
        <v>370</v>
      </c>
      <c r="M30" s="2" t="s">
        <v>371</v>
      </c>
    </row>
    <row r="31">
      <c r="A31" s="1" t="s">
        <v>372</v>
      </c>
      <c r="B31" s="1" t="s">
        <v>373</v>
      </c>
      <c r="C31" s="1" t="s">
        <v>374</v>
      </c>
      <c r="D31" s="1" t="s">
        <v>375</v>
      </c>
      <c r="E31" s="1" t="s">
        <v>376</v>
      </c>
      <c r="F31" s="1" t="s">
        <v>377</v>
      </c>
      <c r="G31" s="1" t="s">
        <v>378</v>
      </c>
      <c r="H31" s="1" t="s">
        <v>59</v>
      </c>
      <c r="I31" s="1" t="s">
        <v>379</v>
      </c>
      <c r="J31" s="1" t="s">
        <v>380</v>
      </c>
      <c r="K31" s="1" t="s">
        <v>381</v>
      </c>
      <c r="L31" s="1" t="s">
        <v>382</v>
      </c>
      <c r="M31" s="2" t="s">
        <v>383</v>
      </c>
    </row>
    <row r="32">
      <c r="A32" s="1" t="s">
        <v>384</v>
      </c>
      <c r="B32" s="1" t="s">
        <v>27</v>
      </c>
      <c r="C32" s="1" t="s">
        <v>385</v>
      </c>
      <c r="D32" s="1" t="s">
        <v>386</v>
      </c>
      <c r="E32" s="1" t="s">
        <v>387</v>
      </c>
      <c r="F32" s="1" t="s">
        <v>388</v>
      </c>
      <c r="G32" s="1" t="s">
        <v>389</v>
      </c>
      <c r="H32" s="1" t="s">
        <v>390</v>
      </c>
      <c r="I32" s="1" t="s">
        <v>391</v>
      </c>
      <c r="J32" s="1" t="s">
        <v>392</v>
      </c>
      <c r="K32" s="1" t="s">
        <v>393</v>
      </c>
      <c r="L32" s="1" t="s">
        <v>394</v>
      </c>
      <c r="M32" s="2" t="s">
        <v>395</v>
      </c>
    </row>
    <row r="33">
      <c r="A33" s="1" t="s">
        <v>396</v>
      </c>
      <c r="B33" s="1" t="s">
        <v>27</v>
      </c>
      <c r="C33" s="1" t="s">
        <v>397</v>
      </c>
      <c r="D33" s="1" t="s">
        <v>398</v>
      </c>
      <c r="E33" s="1" t="s">
        <v>399</v>
      </c>
      <c r="F33" s="1" t="s">
        <v>400</v>
      </c>
      <c r="G33" s="1" t="s">
        <v>401</v>
      </c>
      <c r="H33" s="1" t="s">
        <v>59</v>
      </c>
      <c r="I33" s="1" t="s">
        <v>402</v>
      </c>
      <c r="J33" s="1" t="s">
        <v>403</v>
      </c>
      <c r="K33" s="1" t="s">
        <v>404</v>
      </c>
      <c r="L33" s="1" t="s">
        <v>405</v>
      </c>
      <c r="M33" s="2" t="s">
        <v>406</v>
      </c>
    </row>
    <row r="34">
      <c r="A34" s="1" t="s">
        <v>407</v>
      </c>
      <c r="B34" s="1" t="s">
        <v>408</v>
      </c>
      <c r="C34" s="1" t="s">
        <v>409</v>
      </c>
      <c r="D34" s="1" t="s">
        <v>410</v>
      </c>
      <c r="E34" s="1" t="s">
        <v>411</v>
      </c>
      <c r="F34" s="1" t="s">
        <v>412</v>
      </c>
      <c r="G34" s="1" t="s">
        <v>413</v>
      </c>
      <c r="H34" s="1" t="s">
        <v>414</v>
      </c>
      <c r="I34" s="1" t="s">
        <v>415</v>
      </c>
      <c r="J34" s="1" t="s">
        <v>416</v>
      </c>
      <c r="K34" s="1" t="s">
        <v>417</v>
      </c>
      <c r="L34" s="1" t="s">
        <v>418</v>
      </c>
      <c r="M34" s="2" t="s">
        <v>419</v>
      </c>
    </row>
    <row r="35">
      <c r="A35" s="1" t="s">
        <v>420</v>
      </c>
      <c r="B35" s="1" t="s">
        <v>421</v>
      </c>
      <c r="C35" s="1" t="s">
        <v>422</v>
      </c>
      <c r="D35" s="1" t="s">
        <v>423</v>
      </c>
      <c r="E35" s="1" t="s">
        <v>424</v>
      </c>
      <c r="F35" s="1" t="s">
        <v>425</v>
      </c>
      <c r="G35" s="1" t="s">
        <v>426</v>
      </c>
      <c r="H35" s="1" t="s">
        <v>427</v>
      </c>
      <c r="I35" s="1" t="s">
        <v>428</v>
      </c>
      <c r="J35" s="1" t="s">
        <v>429</v>
      </c>
      <c r="K35" s="1" t="s">
        <v>430</v>
      </c>
      <c r="L35" s="1" t="s">
        <v>431</v>
      </c>
      <c r="M35" s="2" t="s">
        <v>432</v>
      </c>
    </row>
    <row r="36">
      <c r="A36" s="1" t="s">
        <v>433</v>
      </c>
      <c r="B36" s="1" t="s">
        <v>27</v>
      </c>
      <c r="C36" s="1" t="s">
        <v>434</v>
      </c>
      <c r="D36" s="1" t="s">
        <v>435</v>
      </c>
      <c r="E36" s="1" t="s">
        <v>436</v>
      </c>
      <c r="F36" s="1" t="s">
        <v>437</v>
      </c>
      <c r="G36" s="1" t="s">
        <v>438</v>
      </c>
      <c r="H36" s="1" t="s">
        <v>439</v>
      </c>
      <c r="I36" s="1" t="s">
        <v>440</v>
      </c>
      <c r="J36" s="1" t="s">
        <v>59</v>
      </c>
      <c r="K36" s="1" t="s">
        <v>441</v>
      </c>
      <c r="L36" s="1" t="s">
        <v>442</v>
      </c>
      <c r="M36" s="2" t="s">
        <v>443</v>
      </c>
    </row>
    <row r="37">
      <c r="A37" s="1" t="s">
        <v>444</v>
      </c>
      <c r="B37" s="1" t="s">
        <v>445</v>
      </c>
      <c r="C37" s="1" t="s">
        <v>446</v>
      </c>
      <c r="D37" s="1" t="s">
        <v>447</v>
      </c>
      <c r="E37" s="1" t="s">
        <v>448</v>
      </c>
      <c r="F37" s="1" t="s">
        <v>449</v>
      </c>
      <c r="G37" s="1" t="s">
        <v>450</v>
      </c>
      <c r="H37" s="1" t="s">
        <v>451</v>
      </c>
      <c r="I37" s="1" t="s">
        <v>452</v>
      </c>
      <c r="J37" s="1" t="s">
        <v>453</v>
      </c>
      <c r="K37" s="1" t="s">
        <v>454</v>
      </c>
      <c r="L37" s="1" t="s">
        <v>455</v>
      </c>
      <c r="M37" s="2" t="s">
        <v>456</v>
      </c>
    </row>
    <row r="38">
      <c r="A38" s="1" t="s">
        <v>457</v>
      </c>
      <c r="B38" s="1" t="s">
        <v>458</v>
      </c>
      <c r="C38" s="1" t="s">
        <v>459</v>
      </c>
      <c r="D38" s="1" t="s">
        <v>460</v>
      </c>
      <c r="E38" s="1" t="s">
        <v>461</v>
      </c>
      <c r="F38" s="1" t="s">
        <v>462</v>
      </c>
      <c r="G38" s="1" t="s">
        <v>463</v>
      </c>
      <c r="H38" s="1" t="s">
        <v>464</v>
      </c>
      <c r="I38" s="1" t="s">
        <v>465</v>
      </c>
      <c r="J38" s="1" t="s">
        <v>466</v>
      </c>
      <c r="K38" s="1" t="s">
        <v>467</v>
      </c>
      <c r="L38" s="1" t="s">
        <v>468</v>
      </c>
      <c r="M38" s="2" t="s">
        <v>469</v>
      </c>
    </row>
    <row r="39">
      <c r="A39" s="1" t="s">
        <v>470</v>
      </c>
      <c r="B39" s="1" t="s">
        <v>27</v>
      </c>
      <c r="C39" s="1" t="s">
        <v>471</v>
      </c>
      <c r="D39" s="1" t="s">
        <v>472</v>
      </c>
      <c r="E39" s="1" t="s">
        <v>473</v>
      </c>
      <c r="F39" s="1" t="s">
        <v>474</v>
      </c>
      <c r="G39" s="1" t="s">
        <v>475</v>
      </c>
      <c r="H39" s="1" t="s">
        <v>476</v>
      </c>
      <c r="I39" s="1" t="s">
        <v>477</v>
      </c>
      <c r="J39" s="1" t="s">
        <v>478</v>
      </c>
      <c r="K39" s="1" t="s">
        <v>479</v>
      </c>
      <c r="L39" s="1" t="s">
        <v>480</v>
      </c>
      <c r="M39" s="2" t="s">
        <v>481</v>
      </c>
    </row>
    <row r="40">
      <c r="A40" s="1" t="s">
        <v>482</v>
      </c>
      <c r="B40" s="1" t="s">
        <v>483</v>
      </c>
      <c r="C40" s="1" t="s">
        <v>484</v>
      </c>
      <c r="D40" s="1" t="s">
        <v>485</v>
      </c>
      <c r="E40" s="1" t="s">
        <v>486</v>
      </c>
      <c r="F40" s="1" t="s">
        <v>487</v>
      </c>
      <c r="G40" s="1" t="s">
        <v>488</v>
      </c>
      <c r="H40" s="1" t="s">
        <v>489</v>
      </c>
      <c r="I40" s="1" t="s">
        <v>490</v>
      </c>
      <c r="J40" s="1" t="s">
        <v>59</v>
      </c>
      <c r="K40" s="1" t="s">
        <v>491</v>
      </c>
      <c r="L40" s="1" t="s">
        <v>492</v>
      </c>
      <c r="M40" s="2" t="s">
        <v>493</v>
      </c>
    </row>
    <row r="41">
      <c r="A41" s="1" t="s">
        <v>494</v>
      </c>
      <c r="B41" s="1" t="s">
        <v>27</v>
      </c>
      <c r="C41" s="1" t="s">
        <v>495</v>
      </c>
      <c r="D41" s="1" t="s">
        <v>496</v>
      </c>
      <c r="E41" s="1" t="s">
        <v>497</v>
      </c>
      <c r="F41" s="1" t="s">
        <v>498</v>
      </c>
      <c r="G41" s="1" t="s">
        <v>499</v>
      </c>
      <c r="H41" s="1" t="s">
        <v>500</v>
      </c>
      <c r="I41" s="1" t="s">
        <v>501</v>
      </c>
      <c r="J41" s="1" t="s">
        <v>502</v>
      </c>
      <c r="K41" s="1" t="s">
        <v>503</v>
      </c>
      <c r="L41" s="1" t="s">
        <v>504</v>
      </c>
      <c r="M41" s="2" t="s">
        <v>505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506</v>
      </c>
      <c r="B1" s="1" t="s">
        <v>507</v>
      </c>
    </row>
    <row r="2">
      <c r="A2" s="2" t="s">
        <v>508</v>
      </c>
      <c r="B2" s="1" t="s">
        <v>509</v>
      </c>
    </row>
    <row r="3">
      <c r="A3" s="2" t="s">
        <v>510</v>
      </c>
      <c r="B3" s="1" t="s">
        <v>511</v>
      </c>
    </row>
    <row r="4">
      <c r="A4" s="2" t="s">
        <v>38</v>
      </c>
      <c r="B4" s="1" t="s">
        <v>512</v>
      </c>
    </row>
    <row r="5">
      <c r="A5" s="2" t="s">
        <v>51</v>
      </c>
      <c r="B5" s="1" t="s">
        <v>513</v>
      </c>
    </row>
    <row r="6">
      <c r="A6" s="2" t="s">
        <v>64</v>
      </c>
      <c r="B6" s="1" t="s">
        <v>514</v>
      </c>
    </row>
    <row r="7">
      <c r="A7" s="2" t="s">
        <v>76</v>
      </c>
      <c r="B7" s="1" t="s">
        <v>515</v>
      </c>
    </row>
    <row r="8">
      <c r="A8" s="2" t="s">
        <v>89</v>
      </c>
      <c r="B8" s="1" t="s">
        <v>516</v>
      </c>
    </row>
    <row r="9">
      <c r="A9" s="2" t="s">
        <v>102</v>
      </c>
      <c r="B9" s="1" t="s">
        <v>517</v>
      </c>
    </row>
    <row r="10">
      <c r="A10" s="2" t="s">
        <v>113</v>
      </c>
      <c r="B10" s="1" t="s">
        <v>518</v>
      </c>
    </row>
    <row r="11">
      <c r="A11" s="2" t="s">
        <v>125</v>
      </c>
      <c r="B11" s="1" t="s">
        <v>519</v>
      </c>
    </row>
    <row r="12">
      <c r="A12" s="2" t="s">
        <v>137</v>
      </c>
      <c r="B12" s="1" t="s">
        <v>520</v>
      </c>
    </row>
    <row r="13">
      <c r="A13" s="2" t="s">
        <v>149</v>
      </c>
      <c r="B13" s="1" t="s">
        <v>521</v>
      </c>
    </row>
    <row r="14">
      <c r="A14" s="2" t="s">
        <v>162</v>
      </c>
      <c r="B14" s="1" t="s">
        <v>522</v>
      </c>
    </row>
    <row r="15">
      <c r="A15" s="2" t="s">
        <v>173</v>
      </c>
      <c r="B15" s="1" t="s">
        <v>523</v>
      </c>
    </row>
    <row r="16">
      <c r="A16" s="2" t="s">
        <v>186</v>
      </c>
      <c r="B16" s="1" t="s">
        <v>524</v>
      </c>
    </row>
    <row r="17">
      <c r="A17" s="2" t="s">
        <v>199</v>
      </c>
      <c r="B17" s="1" t="s">
        <v>525</v>
      </c>
    </row>
    <row r="18">
      <c r="A18" s="2" t="s">
        <v>212</v>
      </c>
      <c r="B18" s="1" t="s">
        <v>526</v>
      </c>
    </row>
    <row r="19">
      <c r="A19" s="2" t="s">
        <v>225</v>
      </c>
      <c r="B19" s="1" t="s">
        <v>527</v>
      </c>
    </row>
    <row r="20">
      <c r="A20" s="2" t="s">
        <v>238</v>
      </c>
      <c r="B20" s="1" t="s">
        <v>528</v>
      </c>
    </row>
    <row r="21">
      <c r="A21" s="2" t="s">
        <v>250</v>
      </c>
      <c r="B21" s="1" t="s">
        <v>529</v>
      </c>
    </row>
    <row r="22">
      <c r="A22" s="2" t="s">
        <v>262</v>
      </c>
      <c r="B22" s="1" t="s">
        <v>530</v>
      </c>
    </row>
    <row r="23">
      <c r="A23" s="2" t="s">
        <v>275</v>
      </c>
      <c r="B23" s="1" t="s">
        <v>531</v>
      </c>
    </row>
    <row r="24">
      <c r="A24" s="2" t="s">
        <v>287</v>
      </c>
      <c r="B24" s="1" t="s">
        <v>532</v>
      </c>
    </row>
    <row r="25">
      <c r="A25" s="2" t="s">
        <v>299</v>
      </c>
      <c r="B25" s="1" t="s">
        <v>533</v>
      </c>
    </row>
    <row r="26">
      <c r="A26" s="2" t="s">
        <v>311</v>
      </c>
      <c r="B26" s="1" t="s">
        <v>534</v>
      </c>
    </row>
    <row r="27">
      <c r="A27" s="2" t="s">
        <v>323</v>
      </c>
      <c r="B27" s="1" t="s">
        <v>535</v>
      </c>
    </row>
    <row r="28">
      <c r="A28" s="2" t="s">
        <v>335</v>
      </c>
      <c r="B28" s="1" t="s">
        <v>536</v>
      </c>
    </row>
    <row r="29">
      <c r="A29" s="2" t="s">
        <v>347</v>
      </c>
      <c r="B29" s="1" t="s">
        <v>537</v>
      </c>
    </row>
    <row r="30">
      <c r="A30" s="2" t="s">
        <v>359</v>
      </c>
      <c r="B30" s="1" t="s">
        <v>538</v>
      </c>
    </row>
    <row r="31">
      <c r="A31" s="2" t="s">
        <v>371</v>
      </c>
      <c r="B31" s="1" t="s">
        <v>539</v>
      </c>
    </row>
    <row r="32">
      <c r="A32" s="2" t="s">
        <v>383</v>
      </c>
      <c r="B32" s="1" t="s">
        <v>540</v>
      </c>
    </row>
    <row r="33">
      <c r="A33" s="2" t="s">
        <v>395</v>
      </c>
      <c r="B33" s="1" t="s">
        <v>541</v>
      </c>
    </row>
    <row r="34">
      <c r="A34" s="2" t="s">
        <v>406</v>
      </c>
      <c r="B34" s="1" t="s">
        <v>542</v>
      </c>
    </row>
    <row r="35">
      <c r="A35" s="2" t="s">
        <v>419</v>
      </c>
      <c r="B35" s="1" t="s">
        <v>543</v>
      </c>
    </row>
    <row r="36">
      <c r="A36" s="2" t="s">
        <v>432</v>
      </c>
      <c r="B36" s="1" t="s">
        <v>544</v>
      </c>
    </row>
    <row r="37">
      <c r="A37" s="2" t="s">
        <v>443</v>
      </c>
      <c r="B37" s="1" t="s">
        <v>545</v>
      </c>
    </row>
    <row r="38">
      <c r="A38" s="2" t="s">
        <v>456</v>
      </c>
      <c r="B38" s="1" t="s">
        <v>546</v>
      </c>
    </row>
    <row r="39">
      <c r="A39" s="2" t="s">
        <v>469</v>
      </c>
      <c r="B39" s="1" t="s">
        <v>547</v>
      </c>
    </row>
    <row r="40">
      <c r="A40" s="2" t="s">
        <v>481</v>
      </c>
      <c r="B40" s="1" t="s">
        <v>548</v>
      </c>
    </row>
    <row r="41">
      <c r="A41" s="2" t="s">
        <v>493</v>
      </c>
      <c r="B41" s="1" t="s">
        <v>549</v>
      </c>
    </row>
    <row r="42">
      <c r="A42" s="2" t="s">
        <v>505</v>
      </c>
      <c r="B42" s="1" t="s">
        <v>550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IFERROR(__xludf.DUMMYFUNCTION("QUERY('Table 1'!A:M, ""SELECT A, B, C, F, J, K, G WHERE A IS NOT NULL"", 1)"),"Paper ID / Title / Authors")</f>
        <v>Paper ID / Title / Authors</v>
      </c>
      <c r="B1" s="1" t="str">
        <f>IFERROR(__xludf.DUMMYFUNCTION("""COMPUTED_VALUE"""),"Core Paradigm")</f>
        <v>Core Paradigm</v>
      </c>
      <c r="C1" s="1" t="str">
        <f>IFERROR(__xludf.DUMMYFUNCTION("""COMPUTED_VALUE"""),"Base Model / Backbone")</f>
        <v>Base Model / Backbone</v>
      </c>
      <c r="D1" s="1" t="str">
        <f>IFERROR(__xludf.DUMMYFUNCTION("""COMPUTED_VALUE"""),"Data Strategy &amp; Volume")</f>
        <v>Data Strategy &amp; Volume</v>
      </c>
      <c r="E1" s="1" t="str">
        <f>IFERROR(__xludf.DUMMYFUNCTION("""COMPUTED_VALUE"""),"Hardware &amp; Framework Stack")</f>
        <v>Hardware &amp; Framework Stack</v>
      </c>
      <c r="F1" s="1" t="str">
        <f>IFERROR(__xludf.DUMMYFUNCTION("""COMPUTED_VALUE"""),"Core Limitation / Failure Mode")</f>
        <v>Core Limitation / Failure Mode</v>
      </c>
      <c r="G1" s="1" t="str">
        <f>IFERROR(__xludf.DUMMYFUNCTION("""COMPUTED_VALUE"""),"Primary Benchmark Metrics")</f>
        <v>Primary Benchmark Metrics</v>
      </c>
      <c r="H1" s="3" t="s">
        <v>551</v>
      </c>
    </row>
    <row r="2">
      <c r="A2" s="1" t="str">
        <f>IFERROR(__xludf.DUMMYFUNCTION("""COMPUTED_VALUE"""),"Classification of 12-lead ECGs: the PhysioNet/CiC 2020; Perez Alday et al.")</f>
        <v>Classification of 12-lead ECGs: the PhysioNet/CiC 2020; Perez Alday et al.</v>
      </c>
      <c r="B2" s="1" t="str">
        <f>IFERROR(__xludf.DUMMYFUNCTION("""COMPUTED_VALUE"""),"Meta-analysis / Hybrid ML")</f>
        <v>Meta-analysis / Hybrid ML</v>
      </c>
      <c r="C2" s="1" t="str">
        <f>IFERROR(__xludf.DUMMYFUNCTION("""COMPUTED_VALUE"""),"Various (CNNs dominant; RF/MLR baselines)")</f>
        <v>Various (CNNs dominant; RF/MLR baselines)</v>
      </c>
      <c r="D2" s="1" t="str">
        <f>IFERROR(__xludf.DUMMYFUNCTION("""COMPUTED_VALUE"""),"66,361 recordings (43,101 public); 111 classes (27 scored); Multi-institutional (6 systems).")</f>
        <v>66,361 recordings (43,101 public); 111 classes (27 scored); Multi-institutional (6 systems).</v>
      </c>
      <c r="E2" s="1" t="str">
        <f>IFERROR(__xludf.DUMMYFUNCTION("""COMPUTED_VALUE"""),"Google Cloud; NVIDIA T4; PyTorch; TensorFlow; MATLAB.")</f>
        <v>Google Cloud; NVIDIA T4; PyTorch; TensorFlow; MATLAB.</v>
      </c>
      <c r="F2" s="1" t="str">
        <f>IFERROR(__xludf.DUMMYFUNCTION("""COMPUTED_VALUE"""),"Sensitivity to sampling frequency; Performance drop (10%+) on hidden data; Class imbalance.")</f>
        <v>Sensitivity to sampling frequency; Performance drop (10%+) on hidden data; Class imbalance.</v>
      </c>
      <c r="G2" s="1" t="str">
        <f>IFERROR(__xludf.DUMMYFUNCTION("""COMPUTED_VALUE"""),"Max Score: 1.0; Inactive Score: 0.0; Top participant  $S_{normalized}$ : 0.533.")</f>
        <v>Max Score: 1.0; Inactive Score: 0.0; Top participant  $S_{normalized}$ : 0.533.</v>
      </c>
      <c r="H2" s="3">
        <v>0.533</v>
      </c>
    </row>
    <row r="3">
      <c r="A3" s="1" t="str">
        <f>IFERROR(__xludf.DUMMYFUNCTION("""COMPUTED_VALUE"""),"CinC2020-189; ECG Abnormalities Recognition...; Vicar et al.")</f>
        <v>CinC2020-189; ECG Abnormalities Recognition...; Vicar et al.</v>
      </c>
      <c r="B3" s="1" t="str">
        <f>IFERROR(__xludf.DUMMYFUNCTION("""COMPUTED_VALUE"""),"Deep Learning (CNN)")</f>
        <v>Deep Learning (CNN)</v>
      </c>
      <c r="C3" s="1" t="str">
        <f>IFERROR(__xludf.DUMMYFUNCTION("""COMPUTED_VALUE"""),"Modified 1D-ResNet (6 blocks)")</f>
        <v>Modified 1D-ResNet (6 blocks)</v>
      </c>
      <c r="D3" s="1" t="str">
        <f>IFERROR(__xludf.DUMMYFUNCTION("""COMPUTED_VALUE"""),"43,101 recordings; 125 Hz resampling;  $\pm 10\%$  temporal stretch &amp;  $\pm 20\%$  voltage amplification ( $p=0.8$ ).")</f>
        <v>43,101 recordings; 125 Hz resampling;  $\pm 10\%$  temporal stretch &amp;  $\pm 20\%$  voltage amplification ( $p=0.8$ ).</v>
      </c>
      <c r="E3" s="1" t="str">
        <f>IFERROR(__xludf.DUMMYFUNCTION("""COMPUTED_VALUE"""),"Python; Bayesian Optimization library; Not in source.")</f>
        <v>Python; Bayesian Optimization library; Not in source.</v>
      </c>
      <c r="F3" s="1" t="str">
        <f>IFERROR(__xludf.DUMMYFUNCTION("""COMPUTED_VALUE"""),"Poor generalization to different data sources; High performance drop on low-frequency classes (PVC, PAC, Brady).")</f>
        <v>Poor generalization to different data sources; High performance drop on low-frequency classes (PVC, PAC, Brady).</v>
      </c>
      <c r="G3" s="1" t="str">
        <f>IFERROR(__xludf.DUMMYFUNCTION("""COMPUTED_VALUE"""),"Validation CM: 0.696; Full Test CM: 0.202; Dice Coefficient: 0.571.")</f>
        <v>Validation CM: 0.696; Full Test CM: 0.202; Dice Coefficient: 0.571.</v>
      </c>
      <c r="H3" s="3">
        <v>0.202</v>
      </c>
    </row>
    <row r="4">
      <c r="A4" s="1" t="str">
        <f>IFERROR(__xludf.DUMMYFUNCTION("""COMPUTED_VALUE"""),"CinC2020-281; Classification of Cardiac Abnormalities...; Zhu et al.")</f>
        <v>CinC2020-281; Classification of Cardiac Abnormalities...; Zhu et al.</v>
      </c>
      <c r="B4" s="1" t="str">
        <f>IFERROR(__xludf.DUMMYFUNCTION("""COMPUTED_VALUE"""),"Hybrid DL and Rule-based")</f>
        <v>Hybrid DL and Rule-based</v>
      </c>
      <c r="C4" s="1" t="str">
        <f>IFERROR(__xludf.DUMMYFUNCTION("""COMPUTED_VALUE"""),"SE-ResNet (Squeeze-and-Excitation)")</f>
        <v>SE-ResNet (Squeeze-and-Excitation)</v>
      </c>
      <c r="D4" s="1" t="str">
        <f>IFERROR(__xludf.DUMMYFUNCTION("""COMPUTED_VALUE"""),"43,101 signals; CPSC relabeling; Hefei external validation set (6,500 records).")</f>
        <v>43,101 signals; CPSC relabeling; Hefei external validation set (6,500 records).</v>
      </c>
      <c r="E4" s="1" t="str">
        <f>IFERROR(__xludf.DUMMYFUNCTION("""COMPUTED_VALUE"""),"PyTorch; NVIDIA V100 GPU; 117 GB RAM; 4-core CPU.")</f>
        <v>PyTorch; NVIDIA V100 GPU; 117 GB RAM; 4-core CPU.</v>
      </c>
      <c r="F4" s="1" t="str">
        <f>IFERROR(__xludf.DUMMYFUNCTION("""COMPUTED_VALUE"""),"Rule-based module had low precision due to sub-optimal labels; U-Net segmentation failed to improve scores.")</f>
        <v>Rule-based module had low precision due to sub-optimal labels; U-Net segmentation failed to improve scores.</v>
      </c>
      <c r="G4" s="1" t="str">
        <f>IFERROR(__xludf.DUMMYFUNCTION("""COMPUTED_VALUE"""),"Validation: 0.682; Full Test: 0.514; Offline 20% test: 0.683.")</f>
        <v>Validation: 0.682; Full Test: 0.514; Offline 20% test: 0.683.</v>
      </c>
      <c r="H4" s="3">
        <v>0.514</v>
      </c>
    </row>
    <row r="5">
      <c r="A5" s="1" t="str">
        <f>IFERROR(__xludf.DUMMYFUNCTION("""COMPUTED_VALUE"""),"CinC2020-445; Adversarial Multi-Source Domain Generalization; Hasani et al.")</f>
        <v>CinC2020-445; Adversarial Multi-Source Domain Generalization; Hasani et al.</v>
      </c>
      <c r="B5" s="1" t="str">
        <f>IFERROR(__xludf.DUMMYFUNCTION("""COMPUTED_VALUE"""),"Hybrid CNN-LSTM")</f>
        <v>Hybrid CNN-LSTM</v>
      </c>
      <c r="C5" s="1" t="str">
        <f>IFERROR(__xludf.DUMMYFUNCTION("""COMPUTED_VALUE"""),"Parallel CNN (Fine/Coarse Kernels) + Bi-LSTM")</f>
        <v>Parallel CNN (Fine/Coarse Kernels) + Bi-LSTM</v>
      </c>
      <c r="D5" s="1" t="str">
        <f>IFERROR(__xludf.DUMMYFUNCTION("""COMPUTED_VALUE"""),"43,101 signals (27 scored classes); 250 Hz resampling; Lead dropout/shuffling/inversion augmentations.")</f>
        <v>43,101 signals (27 scored classes); 250 Hz resampling; Lead dropout/shuffling/inversion augmentations.</v>
      </c>
      <c r="E5" s="1" t="str">
        <f>IFERROR(__xludf.DUMMYFUNCTION("""COMPUTED_VALUE"""),"PyTorch; Cloud-training.")</f>
        <v>PyTorch; Cloud-training.</v>
      </c>
      <c r="F5" s="1" t="str">
        <f>IFERROR(__xludf.DUMMYFUNCTION("""COMPUTED_VALUE"""),"Resource limits prevented use of records with unscored labels; 17% validation-to-test performance gap.")</f>
        <v>Resource limits prevented use of records with unscored labels; 17% validation-to-test performance gap.</v>
      </c>
      <c r="G5" s="1" t="str">
        <f>IFERROR(__xludf.DUMMYFUNCTION("""COMPUTED_VALUE"""),"Validation: 0.609; Full Test: 0.437; 5-fold CV: 0.629  $\pm$  0.003; AUROC: 0.64.")</f>
        <v>Validation: 0.609; Full Test: 0.437; 5-fold CV: 0.629  $\pm$  0.003; AUROC: 0.64.</v>
      </c>
      <c r="H5" s="3">
        <v>0.437</v>
      </c>
    </row>
    <row r="6">
      <c r="A6" s="1" t="str">
        <f>IFERROR(__xludf.DUMMYFUNCTION("""COMPUTED_VALUE"""),"CinC2020-328; Bag of Tricks for ECG Classification...; Min et al.")</f>
        <v>CinC2020-328; Bag of Tricks for ECG Classification...; Min et al.</v>
      </c>
      <c r="B6" s="1" t="str">
        <f>IFERROR(__xludf.DUMMYFUNCTION("""COMPUTED_VALUE"""),"Deep Learning (CNN)")</f>
        <v>Deep Learning (CNN)</v>
      </c>
      <c r="C6" s="1" t="str">
        <f>IFERROR(__xludf.DUMMYFUNCTION("""COMPUTED_VALUE"""),"Wide ResNet (WRN-18-2)")</f>
        <v>Wide ResNet (WRN-18-2)</v>
      </c>
      <c r="D6" s="1" t="str">
        <f>IFERROR(__xludf.DUMMYFUNCTION("""COMPUTED_VALUE"""),"37,619 recordings; 10-fold CV iterative stratification; 50/60Hz notch filters; 500 Hz resampling.")</f>
        <v>37,619 recordings; 10-fold CV iterative stratification; 50/60Hz notch filters; 500 Hz resampling.</v>
      </c>
      <c r="E6" s="1" t="str">
        <f>IFERROR(__xludf.DUMMYFUNCTION("""COMPUTED_VALUE"""),"PyTorch; NVIDIA V100 GPU; HPC Support (NIPA).")</f>
        <v>PyTorch; NVIDIA V100 GPU; HPC Support (NIPA).</v>
      </c>
      <c r="F6" s="1" t="str">
        <f>IFERROR(__xludf.DUMMYFUNCTION("""COMPUTED_VALUE"""),"Significant performance variance across databases (DB1: 0.688 vs DB3: 0.228).")</f>
        <v>Significant performance variance across databases (DB1: 0.688 vs DB3: 0.228).</v>
      </c>
      <c r="G6" s="1" t="str">
        <f>IFERROR(__xludf.DUMMYFUNCTION("""COMPUTED_VALUE"""),"Challenge Score: 0.695 (CV), 0.420 (Full Test);  $F_{2}$ : 0.696;  $G_{2}$ : 0.448.")</f>
        <v>Challenge Score: 0.695 (CV), 0.420 (Full Test);  $F_{2}$ : 0.696;  $G_{2}$ : 0.448.</v>
      </c>
      <c r="H6" s="3">
        <v>0.42</v>
      </c>
    </row>
    <row r="7">
      <c r="A7" s="1" t="str">
        <f>IFERROR(__xludf.DUMMYFUNCTION("""COMPUTED_VALUE"""),"CinC2020-253; Pre-trained Exponentially Dilated Causal CNN; Bos et al.")</f>
        <v>CinC2020-253; Pre-trained Exponentially Dilated Causal CNN; Bos et al.</v>
      </c>
      <c r="B7" s="1" t="str">
        <f>IFERROR(__xludf.DUMMYFUNCTION("""COMPUTED_VALUE"""),"Causal CNN")</f>
        <v>Causal CNN</v>
      </c>
      <c r="C7" s="1" t="str">
        <f>IFERROR(__xludf.DUMMYFUNCTION("""COMPUTED_VALUE"""),"Custom 1D Dilated Causal CNN (7 blocks)")</f>
        <v>Custom 1D Dilated Causal CNN (7 blocks)</v>
      </c>
      <c r="D7" s="1" t="str">
        <f>IFERROR(__xludf.DUMMYFUNCTION("""COMPUTED_VALUE"""),"Pre-trained on 254,044 physician-annotated ECGs (UMCU); Fine-tuned on 42,511 Challenge ECGs.")</f>
        <v>Pre-trained on 254,044 physician-annotated ECGs (UMCU); Fine-tuned on 42,511 Challenge ECGs.</v>
      </c>
      <c r="E7" s="1" t="str">
        <f>IFERROR(__xludf.DUMMYFUNCTION("""COMPUTED_VALUE"""),"PyTorch (1.3); NVIDIA Titan Xp; Python (3.7).")</f>
        <v>PyTorch (1.3); NVIDIA Titan Xp; Python (3.7).</v>
      </c>
      <c r="F7" s="1" t="str">
        <f>IFERROR(__xludf.DUMMYFUNCTION("""COMPUTED_VALUE"""),"Poor performance on rare classes (T-wave inversion, PVC); utilized only first 10 seconds of data.")</f>
        <v>Poor performance on rare classes (T-wave inversion, PVC); utilized only first 10 seconds of data.</v>
      </c>
      <c r="G7" s="1" t="str">
        <f>IFERROR(__xludf.DUMMYFUNCTION("""COMPUTED_VALUE"""),"Challenge Score: 0.417 (Test), 0.565 (CV); AUROC: 0.915 (Test), 0.939 (CV).")</f>
        <v>Challenge Score: 0.417 (Test), 0.565 (CV); AUROC: 0.915 (Test), 0.939 (CV).</v>
      </c>
      <c r="H7" s="3">
        <v>0.417</v>
      </c>
    </row>
    <row r="8">
      <c r="A8" s="1" t="str">
        <f>IFERROR(__xludf.DUMMYFUNCTION("""COMPUTED_VALUE"""),"CinC2020-161; Impact of Neural Architecture Design...; Fayyazifar et al.")</f>
        <v>CinC2020-161; Impact of Neural Architecture Design...; Fayyazifar et al.</v>
      </c>
      <c r="B8" s="1" t="str">
        <f>IFERROR(__xludf.DUMMYFUNCTION("""COMPUTED_VALUE"""),"Hybrid CNN-RNN / NAS")</f>
        <v>Hybrid CNN-RNN / NAS</v>
      </c>
      <c r="C8" s="1" t="str">
        <f>IFERROR(__xludf.DUMMYFUNCTION("""COMPUTED_VALUE"""),"Custom 49-layer RCNN (CNN + Bi-LSTM); DARTS")</f>
        <v>Custom 49-layer RCNN (CNN + Bi-LSTM); DARTS</v>
      </c>
      <c r="D8" s="1" t="str">
        <f>IFERROR(__xludf.DUMMYFUNCTION("""COMPUTED_VALUE"""),"37,619 samples; 10s truncation; Db1 Wavelet decomposition (approximation coefficients) for specific variants.")</f>
        <v>37,619 samples; 10s truncation; Db1 Wavelet decomposition (approximation coefficients) for specific variants.</v>
      </c>
      <c r="E8" s="1" t="str">
        <f>IFERROR(__xludf.DUMMYFUNCTION("""COMPUTED_VALUE"""),"PyTorch; NVIDIA 1080 Ti / RTX 8000.")</f>
        <v>PyTorch; NVIDIA 1080 Ti / RTX 8000.</v>
      </c>
      <c r="F8" s="1" t="str">
        <f>IFERROR(__xludf.DUMMYFUNCTION("""COMPUTED_VALUE"""),"NAS model failed to receive official scores due to submission issues; High training time for NAS (20 hours).")</f>
        <v>NAS model failed to receive official scores due to submission issues; High training time for NAS (20 hours).</v>
      </c>
      <c r="G8" s="1" t="str">
        <f>IFERROR(__xludf.DUMMYFUNCTION("""COMPUTED_VALUE"""),"RCNN: 62.3% (Val), 38.2% (Full Test); NAS: 64.4% (CV - no test score).")</f>
        <v>RCNN: 62.3% (Val), 38.2% (Full Test); NAS: 64.4% (CV - no test score).</v>
      </c>
      <c r="H8" s="3">
        <v>0.382</v>
      </c>
    </row>
    <row r="9">
      <c r="A9" s="1" t="str">
        <f>IFERROR(__xludf.DUMMYFUNCTION("""COMPUTED_VALUE"""),"CinC2020-171; Cardiac Pathologies Detection and Classification...; Smisek et al.")</f>
        <v>CinC2020-171; Cardiac Pathologies Detection and Classification...; Smisek et al.</v>
      </c>
      <c r="B9" s="1" t="str">
        <f>IFERROR(__xludf.DUMMYFUNCTION("""COMPUTED_VALUE"""),"Rule-based and Decision Trees")</f>
        <v>Rule-based and Decision Trees</v>
      </c>
      <c r="C9" s="1" t="str">
        <f>IFERROR(__xludf.DUMMYFUNCTION("""COMPUTED_VALUE"""),"Feature-extraction Ensemble")</f>
        <v>Feature-extraction Ensemble</v>
      </c>
      <c r="D9" s="1" t="str">
        <f>IFERROR(__xludf.DUMMYFUNCTION("""COMPUTED_VALUE"""),"6 sub-databases; Excluding 4 pathologies with vague definitions (Brady, LQT, QAb, TInv).")</f>
        <v>6 sub-databases; Excluding 4 pathologies with vague definitions (Brady, LQT, QAb, TInv).</v>
      </c>
      <c r="E9" s="1" t="str">
        <f>IFERROR(__xludf.DUMMYFUNCTION("""COMPUTED_VALUE"""),"Not in source.")</f>
        <v>Not in source.</v>
      </c>
      <c r="F9" s="1" t="str">
        <f>IFERROR(__xludf.DUMMYFUNCTION("""COMPUTED_VALUE"""),"Vague definitions of AFL/NSIVCB led to poor-quality features; Inconsistent bpm thresholds across databases.")</f>
        <v>Vague definitions of AFL/NSIVCB led to poor-quality features; Inconsistent bpm thresholds across databases.</v>
      </c>
      <c r="G9" s="1" t="str">
        <f>IFERROR(__xludf.DUMMYFUNCTION("""COMPUTED_VALUE"""),"Challenge Score: 0.435 (Val), 0.354 (Full Test); AF  $F_{1}$ : 0.83; LBBB  $F_{1}$ : 0.697.")</f>
        <v>Challenge Score: 0.435 (Val), 0.354 (Full Test); AF  $F_{1}$ : 0.83; LBBB  $F_{1}$ : 0.697.</v>
      </c>
      <c r="H9" s="3">
        <v>0.354</v>
      </c>
    </row>
    <row r="10">
      <c r="A10" s="1" t="str">
        <f>IFERROR(__xludf.DUMMYFUNCTION("""COMPUTED_VALUE"""),"CinC2020-417; CRNN and LightGBM Ensemble...; Zisou et al.")</f>
        <v>CinC2020-417; CRNN and LightGBM Ensemble...; Zisou et al.</v>
      </c>
      <c r="B10" s="1" t="str">
        <f>IFERROR(__xludf.DUMMYFUNCTION("""COMPUTED_VALUE"""),"Ensemble (DL + GBDT)")</f>
        <v>Ensemble (DL + GBDT)</v>
      </c>
      <c r="C10" s="1" t="str">
        <f>IFERROR(__xludf.DUMMYFUNCTION("""COMPUTED_VALUE"""),"Hybrid: 1D-CRNN and LightGBM")</f>
        <v>Hybrid: 1D-CRNN and LightGBM</v>
      </c>
      <c r="D10" s="1" t="str">
        <f>IFERROR(__xludf.DUMMYFUNCTION("""COMPUTED_VALUE"""),"24 target classes; 3rd order Butterworth/Notch filtering; 500 Hz resampling; 5-fold iterative stratification.")</f>
        <v>24 target classes; 3rd order Butterworth/Notch filtering; 500 Hz resampling; 5-fold iterative stratification.</v>
      </c>
      <c r="E10" s="1" t="str">
        <f>IFERROR(__xludf.DUMMYFUNCTION("""COMPUTED_VALUE"""),"LightGBM; PyTorch/TensorFlow (implied); Python.")</f>
        <v>LightGBM; PyTorch/TensorFlow (implied); Python.</v>
      </c>
      <c r="F10" s="1" t="str">
        <f>IFERROR(__xludf.DUMMYFUNCTION("""COMPUTED_VALUE"""),"CRNN cannot easily benefit from domain adjustments; Lacks segmentation for locating regions in long recordings.")</f>
        <v>CRNN cannot easily benefit from domain adjustments; Lacks segmentation for locating regions in long recordings.</v>
      </c>
      <c r="G10" s="1" t="str">
        <f>IFERROR(__xludf.DUMMYFUNCTION("""COMPUTED_VALUE"""),"5-fold CV: 0.593; Hidden Test: 0.281; Ensemble AUROC: 0.946 (vs CRNN 0.908, LGBM 0.935).")</f>
        <v>5-fold CV: 0.593; Hidden Test: 0.281; Ensemble AUROC: 0.946 (vs CRNN 0.908, LGBM 0.935).</v>
      </c>
      <c r="H10" s="3">
        <v>0.281</v>
      </c>
    </row>
    <row r="11">
      <c r="A11" s="1" t="str">
        <f>IFERROR(__xludf.DUMMYFUNCTION("""COMPUTED_VALUE"""),"Cardiac Abnormality Detection... Data Augmentation; Weber et al.")</f>
        <v>Cardiac Abnormality Detection... Data Augmentation; Weber et al.</v>
      </c>
      <c r="B11" s="1" t="str">
        <f>IFERROR(__xludf.DUMMYFUNCTION("""COMPUTED_VALUE"""),"Deep Learning (CNN)")</f>
        <v>Deep Learning (CNN)</v>
      </c>
      <c r="C11" s="1" t="str">
        <f>IFERROR(__xludf.DUMMYFUNCTION("""COMPUTED_VALUE"""),"Custom ResNet-inspired")</f>
        <v>Custom ResNet-inspired</v>
      </c>
      <c r="D11" s="1" t="str">
        <f>IFERROR(__xludf.DUMMYFUNCTION("""COMPUTED_VALUE"""),"43,101 signals; Augmentations: Signal Slicing, CutOut (35%), Channel Shifting, Gaussian Noise ( $20 \mu V$ ), Dropout (50%).")</f>
        <v>43,101 signals; Augmentations: Signal Slicing, CutOut (35%), Channel Shifting, Gaussian Noise ( $20 \mu V$ ), Dropout (50%).</v>
      </c>
      <c r="E11" s="1" t="str">
        <f>IFERROR(__xludf.DUMMYFUNCTION("""COMPUTED_VALUE"""),"PyTorch; Tesla K40 GPU (AWS).")</f>
        <v>PyTorch; Tesla K40 GPU (AWS).</v>
      </c>
      <c r="F11" s="1" t="str">
        <f>IFERROR(__xludf.DUMMYFUNCTION("""COMPUTED_VALUE"""),"High discrepancy between validation (0.656) and test (0.270) scores; BatchNorm issues with varying lengths.")</f>
        <v>High discrepancy between validation (0.656) and test (0.270) scores; BatchNorm issues with varying lengths.</v>
      </c>
      <c r="G11" s="1" t="str">
        <f>IFERROR(__xludf.DUMMYFUNCTION("""COMPUTED_VALUE"""),"Validation: 0.656; Full Test: 0.270; AUROC: 0.947; Challenge Metric: 0.611.")</f>
        <v>Validation: 0.656; Full Test: 0.270; AUROC: 0.947; Challenge Metric: 0.611.</v>
      </c>
      <c r="H11" s="3">
        <v>0.27</v>
      </c>
    </row>
    <row r="12">
      <c r="A12" s="1" t="str">
        <f>IFERROR(__xludf.DUMMYFUNCTION("""COMPUTED_VALUE"""),"Multi-label Arrhythmia Classification...; Hsu et al.")</f>
        <v>Multi-label Arrhythmia Classification...; Hsu et al.</v>
      </c>
      <c r="B12" s="1" t="str">
        <f>IFERROR(__xludf.DUMMYFUNCTION("""COMPUTED_VALUE"""),"Machine Learning (Ensemble)")</f>
        <v>Machine Learning (Ensemble)</v>
      </c>
      <c r="C12" s="1" t="str">
        <f>IFERROR(__xludf.DUMMYFUNCTION("""COMPUTED_VALUE"""),"Boosting Classifier (Best); RF; AlexNet; LSTM")</f>
        <v>Boosting Classifier (Best); RF; AlexNet; LSTM</v>
      </c>
      <c r="D12" s="1" t="str">
        <f>IFERROR(__xludf.DUMMYFUNCTION("""COMPUTED_VALUE"""),"Georgia, CPSC, PTB-XL; 1-second representative heartbeat segmentation.")</f>
        <v>Georgia, CPSC, PTB-XL; 1-second representative heartbeat segmentation.</v>
      </c>
      <c r="E12" s="1" t="str">
        <f>IFERROR(__xludf.DUMMYFUNCTION("""COMPUTED_VALUE"""),"Not in source.")</f>
        <v>Not in source.</v>
      </c>
      <c r="F12" s="1" t="str">
        <f>IFERROR(__xludf.DUMMYFUNCTION("""COMPUTED_VALUE"""),"DL models (CNN/RNN) were prone to overfitting; Poor performance on PTB dataset ( $Score: -2.589$ ).")</f>
        <v>DL models (CNN/RNN) were prone to overfitting; Poor performance on PTB dataset ( $Score: -2.589$ ).</v>
      </c>
      <c r="G12" s="1" t="str">
        <f>IFERROR(__xludf.DUMMYFUNCTION("""COMPUTED_VALUE"""),"Official Score: 0.406; Full Test: 0.244; 5-fold CV: 0.402.")</f>
        <v>Official Score: 0.406; Full Test: 0.244; 5-fold CV: 0.402.</v>
      </c>
      <c r="H12" s="3">
        <v>0.244</v>
      </c>
    </row>
    <row r="13">
      <c r="A13" s="1" t="str">
        <f>IFERROR(__xludf.DUMMYFUNCTION("""COMPUTED_VALUE"""),"CinC2020-225; A Bio-toolkit for Multi-Cardiac Abnormality...; Kirodiwal et al.")</f>
        <v>CinC2020-225; A Bio-toolkit for Multi-Cardiac Abnormality...; Kirodiwal et al.</v>
      </c>
      <c r="B13" s="1" t="str">
        <f>IFERROR(__xludf.DUMMYFUNCTION("""COMPUTED_VALUE"""),"Deep Learning (CNN+LSTM)")</f>
        <v>Deep Learning (CNN+LSTM)</v>
      </c>
      <c r="C13" s="1" t="str">
        <f>IFERROR(__xludf.DUMMYFUNCTION("""COMPUTED_VALUE"""),"Custom 1D-CNN (2 layers) + LSTM (2 layers)")</f>
        <v>Custom 1D-CNN (2 layers) + LSTM (2 layers)</v>
      </c>
      <c r="D13" s="1" t="str">
        <f>IFERROR(__xludf.DUMMYFUNCTION("""COMPUTED_VALUE"""),"43,101 recordings; Lead II template extraction (400 samples/cycle); 64/16/20 split.")</f>
        <v>43,101 recordings; Lead II template extraction (400 samples/cycle); 64/16/20 split.</v>
      </c>
      <c r="E13" s="1" t="str">
        <f>IFERROR(__xludf.DUMMYFUNCTION("""COMPUTED_VALUE"""),"Keras; Python.")</f>
        <v>Keras; Python.</v>
      </c>
      <c r="F13" s="1" t="str">
        <f>IFERROR(__xludf.DUMMYFUNCTION("""COMPUTED_VALUE"""),"Poor performance on biased data; Validation and test AUROC remained near chance levels ( $\sim 0.498$ ).")</f>
        <v>Poor performance on biased data; Validation and test AUROC remained near chance levels ( $\sim 0.498$ ).</v>
      </c>
      <c r="G13" s="1" t="str">
        <f>IFERROR(__xludf.DUMMYFUNCTION("""COMPUTED_VALUE"""),"Validation: 0.337; Test Score: 0.258; Macro AUROC: 0.498.")</f>
        <v>Validation: 0.337; Test Score: 0.258; Macro AUROC: 0.498.</v>
      </c>
      <c r="H13" s="3">
        <v>0.258</v>
      </c>
    </row>
    <row r="14">
      <c r="A14" s="1" t="str">
        <f>IFERROR(__xludf.DUMMYFUNCTION("""COMPUTED_VALUE"""),"CinC2020-282; MADNN: A Multi-scale Attention Deep Neural Network; Duan et al.")</f>
        <v>CinC2020-282; MADNN: A Multi-scale Attention Deep Neural Network; Duan et al.</v>
      </c>
      <c r="B14" s="1" t="str">
        <f>IFERROR(__xludf.DUMMYFUNCTION("""COMPUTED_VALUE"""),"Deep Learning (CNN)")</f>
        <v>Deep Learning (CNN)</v>
      </c>
      <c r="C14" s="1" t="str">
        <f>IFERROR(__xludf.DUMMYFUNCTION("""COMPUTED_VALUE"""),"ResNeXt (1D-modified) stem + 4 Multi-scale modules")</f>
        <v>ResNeXt (1D-modified) stem + 4 Multi-scale modules</v>
      </c>
      <c r="D14" s="1" t="str">
        <f>IFERROR(__xludf.DUMMYFUNCTION("""COMPUTED_VALUE"""),"43,134 samples; 500 Hz resampling; 60s padding/truncation; Augmentation: random cropping.")</f>
        <v>43,134 samples; 500 Hz resampling; 60s padding/truncation; Augmentation: random cropping.</v>
      </c>
      <c r="E14" s="1" t="str">
        <f>IFERROR(__xludf.DUMMYFUNCTION("""COMPUTED_VALUE"""),"Not in source.")</f>
        <v>Not in source.</v>
      </c>
      <c r="F14" s="1" t="str">
        <f>IFERROR(__xludf.DUMMYFUNCTION("""COMPUTED_VALUE"""),"High model complexity for ensemble; high-frequency feature suppression if using standard image kernels.")</f>
        <v>High model complexity for ensemble; high-frequency feature suppression if using standard image kernels.</v>
      </c>
      <c r="G14" s="1" t="str">
        <f>IFERROR(__xludf.DUMMYFUNCTION("""COMPUTED_VALUE"""),"Validation: 0.446; Full Test: 0.236 (Ranked 18th).")</f>
        <v>Validation: 0.446; Full Test: 0.236 (Ranked 18th).</v>
      </c>
      <c r="H14" s="3">
        <v>0.236</v>
      </c>
    </row>
    <row r="15">
      <c r="A15" s="1" t="str">
        <f>IFERROR(__xludf.DUMMYFUNCTION("""COMPUTED_VALUE"""),"CinC2020-363; Gradient Boosting on Domain-Specific/Agnostic Features; Uguz et al.")</f>
        <v>CinC2020-363; Gradient Boosting on Domain-Specific/Agnostic Features; Uguz et al.</v>
      </c>
      <c r="B15" s="1" t="str">
        <f>IFERROR(__xludf.DUMMYFUNCTION("""COMPUTED_VALUE"""),"Machine Learning (GBDT)")</f>
        <v>Machine Learning (GBDT)</v>
      </c>
      <c r="C15" s="1" t="str">
        <f>IFERROR(__xludf.DUMMYFUNCTION("""COMPUTED_VALUE"""),"XGBoost")</f>
        <v>XGBoost</v>
      </c>
      <c r="D15" s="1" t="str">
        <f>IFERROR(__xludf.DUMMYFUNCTION("""COMPUTED_VALUE"""),"12-lead ECG; Kors transformation to XYZ leads; Dataset segmentation; 10-fold CV and leave-one-dataset-out.")</f>
        <v>12-lead ECG; Kors transformation to XYZ leads; Dataset segmentation; 10-fold CV and leave-one-dataset-out.</v>
      </c>
      <c r="E15" s="1" t="str">
        <f>IFERROR(__xludf.DUMMYFUNCTION("""COMPUTED_VALUE"""),"Python; XGBoost; BioSPPy; NeuroKit2.")</f>
        <v>Python; XGBoost; BioSPPy; NeuroKit2.</v>
      </c>
      <c r="F15" s="1" t="str">
        <f>IFERROR(__xludf.DUMMYFUNCTION("""COMPUTED_VALUE"""),"Limited generalization (negative score on PTB); Independent binary decisions ignore inter-diagnosis dependencies.")</f>
        <v>Limited generalization (negative score on PTB); Independent binary decisions ignore inter-diagnosis dependencies.</v>
      </c>
      <c r="G15" s="1" t="str">
        <f>IFERROR(__xludf.DUMMYFUNCTION("""COMPUTED_VALUE"""),"Validation: 0.576; Full Test: 0.233; AUROC: 0.822;  $F_{measure}$ : 0.298.")</f>
        <v>Validation: 0.576; Full Test: 0.233; AUROC: 0.822;  $F_{measure}$ : 0.298.</v>
      </c>
      <c r="H15" s="3">
        <v>0.233</v>
      </c>
    </row>
    <row r="16">
      <c r="A16" s="1" t="str">
        <f>IFERROR(__xludf.DUMMYFUNCTION("""COMPUTED_VALUE"""),"CinC2020-138; Automated Classification... Wavelet Analysis; Demonbreun et al.")</f>
        <v>CinC2020-138; Automated Classification... Wavelet Analysis; Demonbreun et al.</v>
      </c>
      <c r="B16" s="1" t="str">
        <f>IFERROR(__xludf.DUMMYFUNCTION("""COMPUTED_VALUE"""),"Deep Learning / Image-based")</f>
        <v>Deep Learning / Image-based</v>
      </c>
      <c r="C16" s="1" t="str">
        <f>IFERROR(__xludf.DUMMYFUNCTION("""COMPUTED_VALUE"""),"Modified SqueezeNet (18 layers)")</f>
        <v>Modified SqueezeNet (18 layers)</v>
      </c>
      <c r="D16" s="1" t="str">
        <f>IFERROR(__xludf.DUMMYFUNCTION("""COMPUTED_VALUE"""),"Reduced to 76 codes; 10 signals per arrhythmia (balanced strategy); Scalogram conversion.")</f>
        <v>Reduced to 76 codes; 10 signals per arrhythmia (balanced strategy); Scalogram conversion.</v>
      </c>
      <c r="E16" s="1" t="str">
        <f>IFERROR(__xludf.DUMMYFUNCTION("""COMPUTED_VALUE"""),"MATLAB R2020a; Deep Learning Toolbox.")</f>
        <v>MATLAB R2020a; Deep Learning Toolbox.</v>
      </c>
      <c r="F16" s="1" t="str">
        <f>IFERROR(__xludf.DUMMYFUNCTION("""COMPUTED_VALUE"""),"Limited training volume (10 signals per class) due to compute power; Low clinical viability at current accuracy.")</f>
        <v>Limited training volume (10 signals per class) due to compute power; Low clinical viability at current accuracy.</v>
      </c>
      <c r="G16" s="1" t="str">
        <f>IFERROR(__xludf.DUMMYFUNCTION("""COMPUTED_VALUE"""),"Validation: 0.214; Full Test: 0.205; Training Accuracy: 83-98%.")</f>
        <v>Validation: 0.214; Full Test: 0.205; Training Accuracy: 83-98%.</v>
      </c>
      <c r="H16" s="3">
        <v>0.205</v>
      </c>
    </row>
    <row r="17">
      <c r="A17" s="1" t="str">
        <f>IFERROR(__xludf.DUMMYFUNCTION("""COMPUTED_VALUE"""),"CinC2020-198; ECG Classification With a CRNN; Sigurthorsdottir et al.")</f>
        <v>CinC2020-198; ECG Classification With a CRNN; Sigurthorsdottir et al.</v>
      </c>
      <c r="B17" s="1" t="str">
        <f>IFERROR(__xludf.DUMMYFUNCTION("""COMPUTED_VALUE"""),"Deep Learning (CRNN)")</f>
        <v>Deep Learning (CRNN)</v>
      </c>
      <c r="C17" s="1" t="str">
        <f>IFERROR(__xludf.DUMMYFUNCTION("""COMPUTED_VALUE"""),"15-layer CNN + Bi-GRU")</f>
        <v>15-layer CNN + Bi-GRU</v>
      </c>
      <c r="D17" s="1" t="str">
        <f>IFERROR(__xludf.DUMMYFUNCTION("""COMPUTED_VALUE"""),"80/20 split; 257 Hz resampling; High-pass filter (0.5 Hz); Random offset augmentation.")</f>
        <v>80/20 split; 257 Hz resampling; High-pass filter (0.5 Hz); Random offset augmentation.</v>
      </c>
      <c r="E17" s="1" t="str">
        <f>IFERROR(__xludf.DUMMYFUNCTION("""COMPUTED_VALUE"""),"TensorFlow 2.2.0.")</f>
        <v>TensorFlow 2.2.0.</v>
      </c>
      <c r="F17" s="1" t="str">
        <f>IFERROR(__xludf.DUMMYFUNCTION("""COMPUTED_VALUE"""),"Hardware limited model depth; Significant performance drop (0.511 to 0.167); Class imbalance remained unresolved.")</f>
        <v>Hardware limited model depth; Significant performance drop (0.511 to 0.167); Class imbalance remained unresolved.</v>
      </c>
      <c r="G17" s="1" t="str">
        <f>IFERROR(__xludf.DUMMYFUNCTION("""COMPUTED_VALUE"""),"Validation Score: 0.511; Full Test: 0.167; Local Validation (optimized): 0.573.")</f>
        <v>Validation Score: 0.511; Full Test: 0.167; Local Validation (optimized): 0.573.</v>
      </c>
      <c r="H17" s="3">
        <v>0.167</v>
      </c>
    </row>
    <row r="18">
      <c r="A18" s="1" t="str">
        <f>IFERROR(__xludf.DUMMYFUNCTION("""COMPUTED_VALUE"""),"CinC2020-356; ECG Segmentation... Basis for Detection; Sodmann et al.")</f>
        <v>CinC2020-356; ECG Segmentation... Basis for Detection; Sodmann et al.</v>
      </c>
      <c r="B18" s="1" t="str">
        <f>IFERROR(__xludf.DUMMYFUNCTION("""COMPUTED_VALUE"""),"Two-step: CNN + XGBoost")</f>
        <v>Two-step: CNN + XGBoost</v>
      </c>
      <c r="C18" s="1" t="str">
        <f>IFERROR(__xludf.DUMMYFUNCTION("""COMPUTED_VALUE"""),"Custom UNet-like + XGBoost")</f>
        <v>Custom UNet-like + XGBoost</v>
      </c>
      <c r="D18" s="1" t="str">
        <f>IFERROR(__xludf.DUMMYFUNCTION("""COMPUTED_VALUE"""),"573 training samples; Preprocessing: 500 Hz resampling, Bandpass (0.05-42 Hz), Wavelet (Db4).")</f>
        <v>573 training samples; Preprocessing: 500 Hz resampling, Bandpass (0.05-42 Hz), Wavelet (Db4).</v>
      </c>
      <c r="E18" s="1" t="str">
        <f>IFERROR(__xludf.DUMMYFUNCTION("""COMPUTED_VALUE"""),"Python; FastAPI; PyTorch.")</f>
        <v>Python; FastAPI; PyTorch.</v>
      </c>
      <c r="F18" s="1" t="str">
        <f>IFERROR(__xludf.DUMMYFUNCTION("""COMPUTED_VALUE"""),"Labels provided for 6 classes while model trained on 24; Discrepancy created false positives.")</f>
        <v>Labels provided for 6 classes while model trained on 24; Discrepancy created false positives.</v>
      </c>
      <c r="G18" s="1" t="str">
        <f>IFERROR(__xludf.DUMMYFUNCTION("""COMPUTED_VALUE"""),"Challenge Metric: 0.136 (Rank 28th); R-Peak  $F_{1}$ : 0.943; AF  $F_{1}$ : 0.87.")</f>
        <v>Challenge Metric: 0.136 (Rank 28th); R-Peak  $F_{1}$ : 0.943; AF  $F_{1}$ : 0.87.</v>
      </c>
      <c r="H18" s="3">
        <v>0.136</v>
      </c>
    </row>
    <row r="19">
      <c r="A19" s="1" t="str">
        <f>IFERROR(__xludf.DUMMYFUNCTION("""COMPUTED_VALUE"""),"CinC2020-462; Hybrid Scattering-LSTM Networks; Warrick et al.")</f>
        <v>CinC2020-462; Hybrid Scattering-LSTM Networks; Warrick et al.</v>
      </c>
      <c r="B19" s="1" t="str">
        <f>IFERROR(__xludf.DUMMYFUNCTION("""COMPUTED_VALUE"""),"Hybrid DSP &amp; Deep Learning")</f>
        <v>Hybrid DSP &amp; Deep Learning</v>
      </c>
      <c r="C19" s="1" t="str">
        <f>IFERROR(__xludf.DUMMYFUNCTION("""COMPUTED_VALUE"""),"Scattering-DSC-BiLSTM")</f>
        <v>Scattering-DSC-BiLSTM</v>
      </c>
      <c r="D19" s="1" t="str">
        <f>IFERROR(__xludf.DUMMYFUNCTION("""COMPUTED_VALUE"""),"32,167 recordings (75% of total); 90/10 split; Padding; Truncation at 30s.")</f>
        <v>32,167 recordings (75% of total); 90/10 split; Padding; Truncation at 30s.</v>
      </c>
      <c r="E19" s="1" t="str">
        <f>IFERROR(__xludf.DUMMYFUNCTION("""COMPUTED_VALUE"""),"Keras/TensorFlow; Kymatio; 2x 12GB GPUs.")</f>
        <v>Keras/TensorFlow; Kymatio; 2x 12GB GPUs.</v>
      </c>
      <c r="F19" s="1" t="str">
        <f>IFERROR(__xludf.DUMMYFUNCTION("""COMPUTED_VALUE"""),"Failed to converge on specific datasets; failed to submit Docker container for hidden test; 30s truncation.")</f>
        <v>Failed to converge on specific datasets; failed to submit Docker container for hidden test; 30s truncation.</v>
      </c>
      <c r="G19" s="1" t="str">
        <f>IFERROR(__xludf.DUMMYFUNCTION("""COMPUTED_VALUE"""),"Mean 10-fold CV Score: 0.536  $\pm$  0.012; Validation: 0.540  $\pm$  0.016.")</f>
        <v>Mean 10-fold CV Score: 0.536  $\pm$  0.012; Validation: 0.540  $\pm$  0.016.</v>
      </c>
      <c r="H19" s="3">
        <v>0.536</v>
      </c>
    </row>
    <row r="20">
      <c r="A20" s="1" t="str">
        <f>IFERROR(__xludf.DUMMYFUNCTION("""COMPUTED_VALUE"""),"Classification... 1D-CNN with Class Dependent Threshold; Pardasani et al.")</f>
        <v>Classification... 1D-CNN with Class Dependent Threshold; Pardasani et al.</v>
      </c>
      <c r="B20" s="1" t="str">
        <f>IFERROR(__xludf.DUMMYFUNCTION("""COMPUTED_VALUE"""),"Deep Learning (CNN)")</f>
        <v>Deep Learning (CNN)</v>
      </c>
      <c r="C20" s="1" t="str">
        <f>IFERROR(__xludf.DUMMYFUNCTION("""COMPUTED_VALUE"""),"Custom 1D-CNN (24 parallel branches)")</f>
        <v>Custom 1D-CNN (24 parallel branches)</v>
      </c>
      <c r="D20" s="1" t="str">
        <f>IFERROR(__xludf.DUMMYFUNCTION("""COMPUTED_VALUE"""),"37,619 samples; 10,000 sample trim/pad (20s at 500Hz); Conversion to physical units ( $mV$ ).")</f>
        <v>37,619 samples; 10,000 sample trim/pad (20s at 500Hz); Conversion to physical units ( $mV$ ).</v>
      </c>
      <c r="E20" s="1" t="str">
        <f>IFERROR(__xludf.DUMMYFUNCTION("""COMPUTED_VALUE"""),"Linux; Intel Xeon; TITAN RTX; Keras/TensorFlow.")</f>
        <v>Linux; Intel Xeon; TITAN RTX; Keras/TensorFlow.</v>
      </c>
      <c r="F20" s="1" t="str">
        <f>IFERROR(__xludf.DUMMYFUNCTION("""COMPUTED_VALUE"""),"Low test score (0.077) due to time constraints for tuning; Ranked 32nd.")</f>
        <v>Low test score (0.077) due to time constraints for tuning; Ranked 32nd.</v>
      </c>
      <c r="G20" s="1" t="str">
        <f>IFERROR(__xludf.DUMMYFUNCTION("""COMPUTED_VALUE"""),"Validation: 0.342; Full Test Score: 0.077; AUROC: 0.599.")</f>
        <v>Validation: 0.342; Full Test Score: 0.077; AUROC: 0.599.</v>
      </c>
      <c r="H20" s="3">
        <v>0.077</v>
      </c>
    </row>
    <row r="21">
      <c r="A21" s="1" t="str">
        <f>IFERROR(__xludf.DUMMYFUNCTION("""COMPUTED_VALUE"""),"CinC2020-135; Diagnostic of Multiple Cardiac Disorders... GCN; Jiang et al.")</f>
        <v>CinC2020-135; Diagnostic of Multiple Cardiac Disorders... GCN; Jiang et al.</v>
      </c>
      <c r="B21" s="1" t="str">
        <f>IFERROR(__xludf.DUMMYFUNCTION("""COMPUTED_VALUE"""),"Hybrid CNN-GRU-GCN")</f>
        <v>Hybrid CNN-GRU-GCN</v>
      </c>
      <c r="C21" s="1" t="str">
        <f>IFERROR(__xludf.DUMMYFUNCTION("""COMPUTED_VALUE"""),"16-block ResNet + Bi-GRU")</f>
        <v>16-block ResNet + Bi-GRU</v>
      </c>
      <c r="D21" s="1" t="str">
        <f>IFERROR(__xludf.DUMMYFUNCTION("""COMPUTED_VALUE"""),"43,135 recordings; 500 Hz resampling; Zero-padding to 18s; 5-fold CV.")</f>
        <v>43,135 recordings; 500 Hz resampling; Zero-padding to 18s; 5-fold CV.</v>
      </c>
      <c r="E21" s="1" t="str">
        <f>IFERROR(__xludf.DUMMYFUNCTION("""COMPUTED_VALUE"""),"Not in source.")</f>
        <v>Not in source.</v>
      </c>
      <c r="F21" s="1" t="str">
        <f>IFERROR(__xludf.DUMMYFUNCTION("""COMPUTED_VALUE"""),"Significant drop from Validation (0.395) to Test (-0.012); Ranked 34th.")</f>
        <v>Significant drop from Validation (0.395) to Test (-0.012); Ranked 34th.</v>
      </c>
      <c r="G21" s="1" t="str">
        <f>IFERROR(__xludf.DUMMYFUNCTION("""COMPUTED_VALUE"""),"Challenge Metric: 0.627 (CV), 0.395 (Val), -0.012 (Test).")</f>
        <v>Challenge Metric: 0.627 (CV), 0.395 (Val), -0.012 (Test).</v>
      </c>
      <c r="H21" s="3">
        <v>-0.012</v>
      </c>
    </row>
    <row r="22">
      <c r="A22" s="1" t="str">
        <f>IFERROR(__xludf.DUMMYFUNCTION("""COMPUTED_VALUE"""),"CinC2020-339; Detection... Using Deep Convolutional Neural Networks; Sallem et al.")</f>
        <v>CinC2020-339; Detection... Using Deep Convolutional Neural Networks; Sallem et al.</v>
      </c>
      <c r="B22" s="1" t="str">
        <f>IFERROR(__xludf.DUMMYFUNCTION("""COMPUTED_VALUE"""),"Deep 1D CNN")</f>
        <v>Deep 1D CNN</v>
      </c>
      <c r="C22" s="1" t="str">
        <f>IFERROR(__xludf.DUMMYFUNCTION("""COMPUTED_VALUE"""),"VGG-ECG (13-layer fully CNN)")</f>
        <v>VGG-ECG (13-layer fully CNN)</v>
      </c>
      <c r="D22" s="1" t="str">
        <f>IFERROR(__xludf.DUMMYFUNCTION("""COMPUTED_VALUE"""),"37,794 scored signals; 3/4 training split; 3000 sample truncation; 100 Hz downsampling.")</f>
        <v>37,794 scored signals; 3/4 training split; 3000 sample truncation; 100 Hz downsampling.</v>
      </c>
      <c r="E22" s="1" t="str">
        <f>IFERROR(__xludf.DUMMYFUNCTION("""COMPUTED_VALUE"""),"Python 3.7; TensorFlow 2.3; Tesla T4 GPU.")</f>
        <v>Python 3.7; TensorFlow 2.3; Tesla T4 GPU.</v>
      </c>
      <c r="F22" s="1" t="str">
        <f>IFERROR(__xludf.DUMMYFUNCTION("""COMPUTED_VALUE"""),"Poor sensitivity for minority classes; Negative score on hidden test set; Ranking 38th.")</f>
        <v>Poor sensitivity for minority classes; Negative score on hidden test set; Ranking 38th.</v>
      </c>
      <c r="G22" s="1" t="str">
        <f>IFERROR(__xludf.DUMMYFUNCTION("""COMPUTED_VALUE"""),"Validation Score: 0.368; Full Test: -0.128; Validation Accuracy: 0.54.")</f>
        <v>Validation Score: 0.368; Full Test: -0.128; Validation Accuracy: 0.54.</v>
      </c>
      <c r="H22" s="3">
        <v>-0.128</v>
      </c>
    </row>
    <row r="23">
      <c r="A23" s="1" t="str">
        <f>IFERROR(__xludf.DUMMYFUNCTION("""COMPUTED_VALUE"""),"CinC2020-148; Multi-Stream DNN For ECG Classification; Baumgartner et al.")</f>
        <v>CinC2020-148; Multi-Stream DNN For ECG Classification; Baumgartner et al.</v>
      </c>
      <c r="B23" s="1" t="str">
        <f>IFERROR(__xludf.DUMMYFUNCTION("""COMPUTED_VALUE"""),"Hybrid: MLP + CNN")</f>
        <v>Hybrid: MLP + CNN</v>
      </c>
      <c r="C23" s="1" t="str">
        <f>IFERROR(__xludf.DUMMYFUNCTION("""COMPUTED_VALUE"""),"Custom Multi-stream (CNN + Bi-GRU + MLP)")</f>
        <v>Custom Multi-stream (CNN + Bi-GRU + MLP)</v>
      </c>
      <c r="D23" s="1" t="str">
        <f>IFERROR(__xludf.DUMMYFUNCTION("""COMPUTED_VALUE"""),"43,101 samples; Rare labels (&lt;1%) removed; Butterworth bandpass (0.1-30 Hz).")</f>
        <v>43,101 samples; Rare labels (&lt;1%) removed; Butterworth bandpass (0.1-30 Hz).</v>
      </c>
      <c r="E23" s="1" t="str">
        <f>IFERROR(__xludf.DUMMYFUNCTION("""COMPUTED_VALUE"""),"Not in source.")</f>
        <v>Not in source.</v>
      </c>
      <c r="F23" s="1" t="str">
        <f>IFERROR(__xludf.DUMMYFUNCTION("""COMPUTED_VALUE"""),"MLP stream dominated the network, preventing CNN from learning; technical difficulties during submission led to rank 39th.")</f>
        <v>MLP stream dominated the network, preventing CNN from learning; technical difficulties during submission led to rank 39th.</v>
      </c>
      <c r="G23" s="1" t="str">
        <f>IFERROR(__xludf.DUMMYFUNCTION("""COMPUTED_VALUE"""),"Test Score: -0.290; Validation: 0.403; Offline weighted average: 0.612.")</f>
        <v>Test Score: -0.290; Validation: 0.403; Offline weighted average: 0.612.</v>
      </c>
      <c r="H23" s="3">
        <v>-0.29</v>
      </c>
    </row>
    <row r="24">
      <c r="A24" s="1" t="str">
        <f>IFERROR(__xludf.DUMMYFUNCTION("""COMPUTED_VALUE"""),"Prediction of Apnoea... Using a Neural Network Classifier; de Chazal et al.")</f>
        <v>Prediction of Apnoea... Using a Neural Network Classifier; de Chazal et al.</v>
      </c>
      <c r="B24" s="1" t="str">
        <f>IFERROR(__xludf.DUMMYFUNCTION("""COMPUTED_VALUE"""),"Neural Network (FFNN)")</f>
        <v>Neural Network (FFNN)</v>
      </c>
      <c r="C24" s="1" t="str">
        <f>IFERROR(__xludf.DUMMYFUNCTION("""COMPUTED_VALUE"""),"Bank of 10 FFNNs (Single hidden layer, 20 units)")</f>
        <v>Bank of 10 FFNNs (Single hidden layer, 20 units)</v>
      </c>
      <c r="D24" s="1" t="str">
        <f>IFERROR(__xludf.DUMMYFUNCTION("""COMPUTED_VALUE"""),"PhysioNet 2018 (994 PSG recordings); Features include  $SpO_{2}$  hypoxic burden and relative band energy.")</f>
        <v>PhysioNet 2018 (994 PSG recordings); Features include  $SpO_{2}$  hypoxic burden and relative band energy.</v>
      </c>
      <c r="E24" s="1" t="str">
        <f>IFERROR(__xludf.DUMMYFUNCTION("""COMPUTED_VALUE"""),"Not in source.")</f>
        <v>Not in source.</v>
      </c>
      <c r="F24" s="1" t="str">
        <f>IFERROR(__xludf.DUMMYFUNCTION("""COMPUTED_VALUE"""),"Non-apnoea arousals harder to detect (69% sens) due to heterogeneity; High feature correlation (531 total).")</f>
        <v>Non-apnoea arousals harder to detect (69% sens) due to heterogeneity; High feature correlation (531 total).</v>
      </c>
      <c r="G24" s="1" t="str">
        <f>IFERROR(__xludf.DUMMYFUNCTION("""COMPUTED_VALUE"""),"Two-class: AUROC 0.91, AUPRC 0.74; Three-class: VUROS 0.75.")</f>
        <v>Two-class: AUROC 0.91, AUPRC 0.74; Three-class: VUROS 0.75.</v>
      </c>
      <c r="H24" s="3">
        <v>0.75</v>
      </c>
    </row>
    <row r="25">
      <c r="A25" s="1" t="str">
        <f>IFERROR(__xludf.DUMMYFUNCTION("""COMPUTED_VALUE"""),"CinC2020-285; Multi-Label Classification... Class-Wise Attention; Liu et al.")</f>
        <v>CinC2020-285; Multi-Label Classification... Class-Wise Attention; Liu et al.</v>
      </c>
      <c r="B25" s="1" t="str">
        <f>IFERROR(__xludf.DUMMYFUNCTION("""COMPUTED_VALUE"""),"Deep Learning (CNN)")</f>
        <v>Deep Learning (CNN)</v>
      </c>
      <c r="C25" s="1" t="str">
        <f>IFERROR(__xludf.DUMMYFUNCTION("""COMPUTED_VALUE"""),"Custom 1D-CNN (9 residual blocks)")</f>
        <v>Custom 1D-CNN (9 residual blocks)</v>
      </c>
      <c r="D25" s="1" t="str">
        <f>IFERROR(__xludf.DUMMYFUNCTION("""COMPUTED_VALUE"""),"43,101 recordings; 111 types (24 scored); Wavelet denoising ('db4') and moving average.")</f>
        <v>43,101 recordings; 111 types (24 scored); Wavelet denoising ('db4') and moving average.</v>
      </c>
      <c r="E25" s="1" t="str">
        <f>IFERROR(__xludf.DUMMYFUNCTION("""COMPUTED_VALUE"""),"NVIDIA Quadro k6000; Keras; Python.")</f>
        <v>NVIDIA Quadro k6000; Keras; Python.</v>
      </c>
      <c r="F25" s="1" t="str">
        <f>IFERROR(__xludf.DUMMYFUNCTION("""COMPUTED_VALUE"""),"Data imbalance significantly impacted scores; Results only on training set; Unable to score on hidden test.")</f>
        <v>Data imbalance significantly impacted scores; Results only on training set; Unable to score on hidden test.</v>
      </c>
      <c r="G25" s="1" t="str">
        <f>IFERROR(__xludf.DUMMYFUNCTION("""COMPUTED_VALUE"""),"Challenge Metric: 0.5501; AUROC: 0.9486; AUPRC: 0.5615;  $F_{2}$ : 0.5765.")</f>
        <v>Challenge Metric: 0.5501; AUROC: 0.9486; AUPRC: 0.5615;  $F_{2}$ : 0.5765.</v>
      </c>
      <c r="H25" s="3">
        <v>0.55</v>
      </c>
    </row>
    <row r="26">
      <c r="A26" s="1" t="str">
        <f>IFERROR(__xludf.DUMMYFUNCTION("""COMPUTED_VALUE"""),"CinC2020-185; Interpretable XGBoost... Information Theory; Rajpal et al.")</f>
        <v>CinC2020-185; Interpretable XGBoost... Information Theory; Rajpal et al.</v>
      </c>
      <c r="B26" s="1" t="str">
        <f>IFERROR(__xludf.DUMMYFUNCTION("""COMPUTED_VALUE"""),"XGBoost (Ensemble)")</f>
        <v>XGBoost (Ensemble)</v>
      </c>
      <c r="C26" s="1" t="str">
        <f>IFERROR(__xludf.DUMMYFUNCTION("""COMPUTED_VALUE"""),"XGBoost (Decision Trees)")</f>
        <v>XGBoost (Decision Trees)</v>
      </c>
      <c r="D26" s="1" t="str">
        <f>IFERROR(__xludf.DUMMYFUNCTION("""COMPUTED_VALUE"""),"4 countries; 2nd order Butterworth (1.5-25 Hz); db4 wavelet; Metadata integration.")</f>
        <v>4 countries; 2nd order Butterworth (1.5-25 Hz); db4 wavelet; Metadata integration.</v>
      </c>
      <c r="E26" s="1" t="str">
        <f>IFERROR(__xludf.DUMMYFUNCTION("""COMPUTED_VALUE"""),"Python; XGBoost.")</f>
        <v>Python; XGBoost.</v>
      </c>
      <c r="F26" s="1" t="str">
        <f>IFERROR(__xludf.DUMMYFUNCTION("""COMPUTED_VALUE"""),"Significant score reduction (0.533 to 0.155) indicated overfitting; IT measures irrelevant for some conditions.")</f>
        <v>Significant score reduction (0.533 to 0.155) indicated overfitting; IT measures irrelevant for some conditions.</v>
      </c>
      <c r="G26" s="1" t="str">
        <f>IFERROR(__xludf.DUMMYFUNCTION("""COMPUTED_VALUE"""),"Challenge Score: 0.155 (Test), 0.533 (Val); With IT vs Without: AUPRC 0.55 vs 0.512.")</f>
        <v>Challenge Score: 0.155 (Test), 0.533 (Val); With IT vs Without: AUPRC 0.55 vs 0.512.</v>
      </c>
      <c r="H26" s="3">
        <v>0.155</v>
      </c>
    </row>
    <row r="27">
      <c r="A27" s="1" t="str">
        <f>IFERROR(__xludf.DUMMYFUNCTION("""COMPUTED_VALUE"""),"CinC2020-456; Parallel CNNs and Time-Frequency Representation; Torres et al.")</f>
        <v>CinC2020-456; Parallel CNNs and Time-Frequency Representation; Torres et al.</v>
      </c>
      <c r="B27" s="1" t="str">
        <f>IFERROR(__xludf.DUMMYFUNCTION("""COMPUTED_VALUE"""),"Deep Learning (CNN)")</f>
        <v>Deep Learning (CNN)</v>
      </c>
      <c r="C27" s="1" t="str">
        <f>IFERROR(__xludf.DUMMYFUNCTION("""COMPUTED_VALUE"""),"Modified VGG-16 (Dual-stream)")</f>
        <v>Modified VGG-16 (Dual-stream)</v>
      </c>
      <c r="D27" s="1" t="str">
        <f>IFERROR(__xludf.DUMMYFUNCTION("""COMPUTED_VALUE"""),"37,134 records; 4.4M ECG beat images generated; 1.2s segments; 64x64 grayscale; db4 denoising.")</f>
        <v>37,134 records; 4.4M ECG beat images generated; 1.2s segments; 64x64 grayscale; db4 denoising.</v>
      </c>
      <c r="E27" s="1" t="str">
        <f>IFERROR(__xludf.DUMMYFUNCTION("""COMPUTED_VALUE"""),"Miztli-UNAM Supercomputer; PyTorch (inferred).")</f>
        <v>Miztli-UNAM Supercomputer; PyTorch (inferred).</v>
      </c>
      <c r="F27" s="1" t="str">
        <f>IFERROR(__xludf.DUMMYFUNCTION("""COMPUTED_VALUE"""),"Morphology similarity causes interference; difficulty differentiating classes with similar visual features.")</f>
        <v>Morphology similarity causes interference; difficulty differentiating classes with similar visual features.</v>
      </c>
      <c r="G27" s="1" t="str">
        <f>IFERROR(__xludf.DUMMYFUNCTION("""COMPUTED_VALUE"""),"$F_{1}$ -score: 0.825; Unofficial S-score: 0.766; Specificity: 91.57%.")</f>
        <v>$F_{1}$ -score: 0.825; Unofficial S-score: 0.766; Specificity: 91.57%.</v>
      </c>
      <c r="H27" s="3">
        <v>0.766</v>
      </c>
    </row>
    <row r="28">
      <c r="A28" s="1" t="str">
        <f>IFERROR(__xludf.DUMMYFUNCTION("""COMPUTED_VALUE"""),"CinC2020-305; Deep Learning Solution... Scalograms; Huerta et al.")</f>
        <v>CinC2020-305; Deep Learning Solution... Scalograms; Huerta et al.</v>
      </c>
      <c r="B28" s="1" t="str">
        <f>IFERROR(__xludf.DUMMYFUNCTION("""COMPUTED_VALUE"""),"Deep Learning (2D-CNN)")</f>
        <v>Deep Learning (2D-CNN)</v>
      </c>
      <c r="C28" s="1" t="str">
        <f>IFERROR(__xludf.DUMMYFUNCTION("""COMPUTED_VALUE"""),"Custom 8-layer CNN")</f>
        <v>Custom 8-layer CNN</v>
      </c>
      <c r="D28" s="1" t="str">
        <f>IFERROR(__xludf.DUMMYFUNCTION("""COMPUTED_VALUE"""),"130,627 beats; 9 output classes (AF, 1AVB, LBBB, NSR, PAC, PVC, RBBB, STD, STE).")</f>
        <v>130,627 beats; 9 output classes (AF, 1AVB, LBBB, NSR, PAC, PVC, RBBB, STD, STE).</v>
      </c>
      <c r="E28" s="1" t="str">
        <f>IFERROR(__xludf.DUMMYFUNCTION("""COMPUTED_VALUE"""),"Not in source.")</f>
        <v>Not in source.</v>
      </c>
      <c r="F28" s="1" t="str">
        <f>IFERROR(__xludf.DUMMYFUNCTION("""COMPUTED_VALUE"""),"Excessive reliance on R-peak detection; Limited training (9 classes); Performance drop on hidden sets.")</f>
        <v>Excessive reliance on R-peak detection; Limited training (9 classes); Performance drop on hidden sets.</v>
      </c>
      <c r="G28" s="1" t="str">
        <f>IFERROR(__xludf.DUMMYFUNCTION("""COMPUTED_VALUE"""),"Training:  $F_{\beta}$  0.933,  $G_{\beta}$  0.811; Validation:  $F_{\beta}$  0.654,  $G_{\beta}$  0.372.")</f>
        <v>Training:  $F_{\beta}$  0.933,  $G_{\beta}$  0.811; Validation:  $F_{\beta}$  0.654,  $G_{\beta}$  0.372.</v>
      </c>
      <c r="H28" s="3">
        <v>0.654</v>
      </c>
    </row>
    <row r="29">
      <c r="A29" s="1" t="str">
        <f>IFERROR(__xludf.DUMMYFUNCTION("""COMPUTED_VALUE"""),"CinC2020-374; ...Residual Neural Networks and Transfer Learning; Ansari et al.")</f>
        <v>CinC2020-374; ...Residual Neural Networks and Transfer Learning; Ansari et al.</v>
      </c>
      <c r="B29" s="1" t="str">
        <f>IFERROR(__xludf.DUMMYFUNCTION("""COMPUTED_VALUE"""),"Deep Learning / Transfer Learning")</f>
        <v>Deep Learning / Transfer Learning</v>
      </c>
      <c r="C29" s="1" t="str">
        <f>IFERROR(__xludf.DUMMYFUNCTION("""COMPUTED_VALUE"""),"Custom ResNet; Ensemble of 5 variants")</f>
        <v>Custom ResNet; Ensemble of 5 variants</v>
      </c>
      <c r="D29" s="1" t="str">
        <f>IFERROR(__xludf.DUMMYFUNCTION("""COMPUTED_VALUE"""),"Pre-training: 1.2M+ MUSE records; Fine-tuning: 43,101 records; 250 Hz resampling; Butterworth filtering.")</f>
        <v>Pre-training: 1.2M+ MUSE records; Fine-tuning: 43,101 records; 250 Hz resampling; Butterworth filtering.</v>
      </c>
      <c r="E29" s="1" t="str">
        <f>IFERROR(__xludf.DUMMYFUNCTION("""COMPUTED_VALUE"""),"TensorFlow 2.3.0; Keras.")</f>
        <v>TensorFlow 2.3.0; Keras.</v>
      </c>
      <c r="F29" s="1" t="str">
        <f>IFERROR(__xludf.DUMMYFUNCTION("""COMPUTED_VALUE"""),"Low performance on underrepresented classes (Brady, LPR); Significant drop from validation to test.")</f>
        <v>Low performance on underrepresented classes (Brady, LPR); Significant drop from validation to test.</v>
      </c>
      <c r="G29" s="1" t="str">
        <f>IFERROR(__xludf.DUMMYFUNCTION("""COMPUTED_VALUE"""),"Challenge Val: 0.616; Official Test: 0.141; MUSE Val AUROC: 0.83 to 0.99.")</f>
        <v>Challenge Val: 0.616; Official Test: 0.141; MUSE Val AUROC: 0.83 to 0.99.</v>
      </c>
      <c r="H29" s="3">
        <v>0.141</v>
      </c>
    </row>
    <row r="30">
      <c r="A30" s="1" t="str">
        <f>IFERROR(__xludf.DUMMYFUNCTION("""COMPUTED_VALUE"""),"CinC2020-139; Multi-label Classification... EASTNet; Ran et al.")</f>
        <v>CinC2020-139; Multi-label Classification... EASTNet; Ran et al.</v>
      </c>
      <c r="B30" s="1" t="str">
        <f>IFERROR(__xludf.DUMMYFUNCTION("""COMPUTED_VALUE"""),"Deep Learning (CNN)")</f>
        <v>Deep Learning (CNN)</v>
      </c>
      <c r="C30" s="1" t="str">
        <f>IFERROR(__xludf.DUMMYFUNCTION("""COMPUTED_VALUE"""),"EASTNet (Modified 1D-ResNet34)")</f>
        <v>EASTNet (Modified 1D-ResNet34)</v>
      </c>
      <c r="D30" s="1" t="str">
        <f>IFERROR(__xludf.DUMMYFUNCTION("""COMPUTED_VALUE"""),"6,720 valid records; 201,600 beats; Selective discarding for balance; 4 intercepted beats per input.")</f>
        <v>6,720 valid records; 201,600 beats; Selective discarding for balance; 4 intercepted beats per input.</v>
      </c>
      <c r="E30" s="1" t="str">
        <f>IFERROR(__xludf.DUMMYFUNCTION("""COMPUTED_VALUE"""),"PyTorch (inferred); FIR filter.")</f>
        <v>PyTorch (inferred); FIR filter.</v>
      </c>
      <c r="F30" s="1" t="str">
        <f>IFERROR(__xludf.DUMMYFUNCTION("""COMPUTED_VALUE"""),"Unable to score in hidden validation; Difficulty balancing noise as heartbeat count increases beyond 5.")</f>
        <v>Unable to score in hidden validation; Difficulty balancing noise as heartbeat count increases beyond 5.</v>
      </c>
      <c r="G30" s="1" t="str">
        <f>IFERROR(__xludf.DUMMYFUNCTION("""COMPUTED_VALUE"""),"Challenge Score: 0.703 (5-fold CV); LSTM baseline: 0.5937; SVM baseline: 0.5611.")</f>
        <v>Challenge Score: 0.703 (5-fold CV); LSTM baseline: 0.5937; SVM baseline: 0.5611.</v>
      </c>
      <c r="H30" s="3">
        <v>0.703</v>
      </c>
    </row>
    <row r="31">
      <c r="A31" s="1" t="str">
        <f>IFERROR(__xludf.DUMMYFUNCTION("""COMPUTED_VALUE"""),"CinC2020-307; Classification... DTFT and Attention; Hammoud et al.")</f>
        <v>CinC2020-307; Classification... DTFT and Attention; Hammoud et al.</v>
      </c>
      <c r="B31" s="1" t="str">
        <f>IFERROR(__xludf.DUMMYFUNCTION("""COMPUTED_VALUE"""),"Hybrid Sequence Model")</f>
        <v>Hybrid Sequence Model</v>
      </c>
      <c r="C31" s="1" t="str">
        <f>IFERROR(__xludf.DUMMYFUNCTION("""COMPUTED_VALUE"""),"Bidirectional LSTM with Attention")</f>
        <v>Bidirectional LSTM with Attention</v>
      </c>
      <c r="D31" s="1" t="str">
        <f>IFERROR(__xludf.DUMMYFUNCTION("""COMPUTED_VALUE"""),"43,101 ECGs; 10s windows; Max 10 heartbeats; Static features (Age, Sex, HR) + Time-varying spectral.")</f>
        <v>43,101 ECGs; 10s windows; Max 10 heartbeats; Static features (Age, Sex, HR) + Time-varying spectral.</v>
      </c>
      <c r="E31" s="1" t="str">
        <f>IFERROR(__xludf.DUMMYFUNCTION("""COMPUTED_VALUE"""),"Hyperopt (Python); Not in source.")</f>
        <v>Hyperopt (Python); Not in source.</v>
      </c>
      <c r="F31" s="1" t="str">
        <f>IFERROR(__xludf.DUMMYFUNCTION("""COMPUTED_VALUE"""),"Failure to generalize across databases (Val 0.416 vs Test 0.024); Outcome-agnostic approach.")</f>
        <v>Failure to generalize across databases (Val 0.416 vs Test 0.024); Outcome-agnostic approach.</v>
      </c>
      <c r="G31" s="1" t="str">
        <f>IFERROR(__xludf.DUMMYFUNCTION("""COMPUTED_VALUE"""),"Validation Score: 0.416; Full Test: 0.024; Database 1: 0.513.")</f>
        <v>Validation Score: 0.416; Full Test: 0.024; Database 1: 0.513.</v>
      </c>
      <c r="H31" s="3">
        <v>0.024</v>
      </c>
    </row>
    <row r="32">
      <c r="A32" s="1" t="str">
        <f>IFERROR(__xludf.DUMMYFUNCTION("""COMPUTED_VALUE"""),"On the Application of CNNs... Multiple Centers; Borra et al.")</f>
        <v>On the Application of CNNs... Multiple Centers; Borra et al.</v>
      </c>
      <c r="B32" s="1" t="str">
        <f>IFERROR(__xludf.DUMMYFUNCTION("""COMPUTED_VALUE"""),"Deep Learning (CNN)")</f>
        <v>Deep Learning (CNN)</v>
      </c>
      <c r="C32" s="1" t="str">
        <f>IFERROR(__xludf.DUMMYFUNCTION("""COMPUTED_VALUE"""),"InceptionTime; ResNet; XResNetld")</f>
        <v>InceptionTime; ResNet; XResNetld</v>
      </c>
      <c r="D32" s="1" t="str">
        <f>IFERROR(__xludf.DUMMYFUNCTION("""COMPUTED_VALUE"""),"Multicenter merge (42,511 total); 2.5s chunks; Online random lead zeroing ( $p=0.5$ ).")</f>
        <v>Multicenter merge (42,511 total); 2.5s chunks; Online random lead zeroing ( $p=0.5$ ).</v>
      </c>
      <c r="E32" s="1" t="str">
        <f>IFERROR(__xludf.DUMMYFUNCTION("""COMPUTED_VALUE"""),"NVIDIA Titan V; PyTorch; Python.")</f>
        <v>NVIDIA Titan V; PyTorch; Python.</v>
      </c>
      <c r="F32" s="1" t="str">
        <f>IFERROR(__xludf.DUMMYFUNCTION("""COMPUTED_VALUE"""),"Limited interpretability; Poor representation of rare conditions (e.g., PVC); Unable to obtain official test scores.")</f>
        <v>Limited interpretability; Poor representation of rare conditions (e.g., PVC); Unable to obtain official test scores.</v>
      </c>
      <c r="G32" s="1" t="str">
        <f>IFERROR(__xludf.DUMMYFUNCTION("""COMPUTED_VALUE"""),"Metric: 0.5183 (InceptionTime), 0.5180 (XResNet 50); AUROC: 0.9400 (ResNet).")</f>
        <v>Metric: 0.5183 (InceptionTime), 0.5180 (XResNet 50); AUROC: 0.9400 (ResNet).</v>
      </c>
      <c r="H32" s="3">
        <v>0.518</v>
      </c>
    </row>
    <row r="33">
      <c r="A33" s="1" t="str">
        <f>IFERROR(__xludf.DUMMYFUNCTION("""COMPUTED_VALUE"""),"CinC2020-144; ...Non-Linear Features and CNNs; Cajas et al.")</f>
        <v>CinC2020-144; ...Non-Linear Features and CNNs; Cajas et al.</v>
      </c>
      <c r="B33" s="1" t="str">
        <f>IFERROR(__xludf.DUMMYFUNCTION("""COMPUTED_VALUE"""),"Deep Learning (CNN)")</f>
        <v>Deep Learning (CNN)</v>
      </c>
      <c r="C33" s="1" t="str">
        <f>IFERROR(__xludf.DUMMYFUNCTION("""COMPUTED_VALUE"""),"Custom 1D-CNN")</f>
        <v>Custom 1D-CNN</v>
      </c>
      <c r="D33" s="1" t="str">
        <f>IFERROR(__xludf.DUMMYFUNCTION("""COMPUTED_VALUE"""),"6,877 recordings; Symlet wavelet decomposition and baseline detrending.")</f>
        <v>6,877 recordings; Symlet wavelet decomposition and baseline detrending.</v>
      </c>
      <c r="E33" s="1" t="str">
        <f>IFERROR(__xludf.DUMMYFUNCTION("""COMPUTED_VALUE"""),"Keras; Sklearn; Python.")</f>
        <v>Keras; Sklearn; Python.</v>
      </c>
      <c r="F33" s="1" t="str">
        <f>IFERROR(__xludf.DUMMYFUNCTION("""COMPUTED_VALUE"""),"Overlapping noise in 1-4 Hz band; Motion artifacts; Lack of compute for windowing segmentation.")</f>
        <v>Overlapping noise in 1-4 Hz band; Motion artifacts; Lack of compute for windowing segmentation.</v>
      </c>
      <c r="G33" s="1" t="str">
        <f>IFERROR(__xludf.DUMMYFUNCTION("""COMPUTED_VALUE"""),"Challenge Score: 0.22 (Avg over K-fold); Accuracy/Precision/F-measure.")</f>
        <v>Challenge Score: 0.22 (Avg over K-fold); Accuracy/Precision/F-measure.</v>
      </c>
      <c r="H33" s="3">
        <v>0.22</v>
      </c>
    </row>
    <row r="34">
      <c r="A34" s="1" t="str">
        <f>IFERROR(__xludf.DUMMYFUNCTION("""COMPUTED_VALUE"""),"CinC2020-297; A Topology Informed RF Classifier; Ignacio et al.")</f>
        <v>CinC2020-297; A Topology Informed RF Classifier; Ignacio et al.</v>
      </c>
      <c r="B34" s="1" t="str">
        <f>IFERROR(__xludf.DUMMYFUNCTION("""COMPUTED_VALUE"""),"TDA + Random Forest")</f>
        <v>TDA + Random Forest</v>
      </c>
      <c r="C34" s="1" t="str">
        <f>IFERROR(__xludf.DUMMYFUNCTION("""COMPUTED_VALUE"""),"Two-level Random Forest")</f>
        <v>Two-level Random Forest</v>
      </c>
      <c r="D34" s="1" t="str">
        <f>IFERROR(__xludf.DUMMYFUNCTION("""COMPUTED_VALUE"""),"12-lead ECG; Three 1800-point windows; 7 lead groupings; 1238 features including TDA and RR intervals.")</f>
        <v>12-lead ECG; Three 1800-point windows; 7 lead groupings; 1238 features including TDA and RR intervals.</v>
      </c>
      <c r="E34" s="1" t="str">
        <f>IFERROR(__xludf.DUMMYFUNCTION("""COMPUTED_VALUE"""),"Python; RIPSER; Scikit-learn.")</f>
        <v>Python; RIPSER; Scikit-learn.</v>
      </c>
      <c r="F34" s="1" t="str">
        <f>IFERROR(__xludf.DUMMYFUNCTION("""COMPUTED_VALUE"""),"High computational cost of TDA; Low  $F_{1}$  scores; Generalizability concerns on specific test databases.")</f>
        <v>High computational cost of TDA; Low  $F_{1}$  scores; Generalizability concerns on specific test databases.</v>
      </c>
      <c r="G34" s="1" t="str">
        <f>IFERROR(__xludf.DUMMYFUNCTION("""COMPUTED_VALUE"""),"Validation Score: 0.304; Full Test Score: -0.113; Average 3-fold CV AUROC: 0.846.")</f>
        <v>Validation Score: 0.304; Full Test Score: -0.113; Average 3-fold CV AUROC: 0.846.</v>
      </c>
      <c r="H34" s="3">
        <v>-0.113</v>
      </c>
    </row>
    <row r="35">
      <c r="A35" s="1" t="str">
        <f>IFERROR(__xludf.DUMMYFUNCTION("""COMPUTED_VALUE"""),"CinC2020-353; ...CAMs for Improved Explainability; Goodfellow et al.")</f>
        <v>CinC2020-353; ...CAMs for Improved Explainability; Goodfellow et al.</v>
      </c>
      <c r="B35" s="1" t="str">
        <f>IFERROR(__xludf.DUMMYFUNCTION("""COMPUTED_VALUE"""),"Deep Learning / Hybrid")</f>
        <v>Deep Learning / Hybrid</v>
      </c>
      <c r="C35" s="1" t="str">
        <f>IFERROR(__xludf.DUMMYFUNCTION("""COMPUTED_VALUE"""),"Modified WaveNet (non-causal)")</f>
        <v>Modified WaveNet (non-causal)</v>
      </c>
      <c r="D35" s="1" t="str">
        <f>IFERROR(__xludf.DUMMYFUNCTION("""COMPUTED_VALUE"""),"1000 Hz upsampling; 19s segments; Synthetic noise augmentation (Gaussian, baseline wander, pulses).")</f>
        <v>1000 Hz upsampling; 19s segments; Synthetic noise augmentation (Gaussian, baseline wander, pulses).</v>
      </c>
      <c r="E35" s="1" t="str">
        <f>IFERROR(__xludf.DUMMYFUNCTION("""COMPUTED_VALUE"""),"Python; BioSPPy; iterative-stratification.")</f>
        <v>Python; BioSPPy; iterative-stratification.</v>
      </c>
      <c r="F35" s="1" t="str">
        <f>IFERROR(__xludf.DUMMYFUNCTION("""COMPUTED_VALUE"""),"Submission error/time constraints prevented test score; Sensitive to mislabeled training data.")</f>
        <v>Submission error/time constraints prevented test score; Sensitive to mislabeled training data.</v>
      </c>
      <c r="G35" s="1" t="str">
        <f>IFERROR(__xludf.DUMMYFUNCTION("""COMPUTED_VALUE"""),"CV Mean: 0.630; CV Fold Max: 0.644; CV Fold Min: 0.614; Official Test: -0.406 (Submission Error).")</f>
        <v>CV Mean: 0.630; CV Fold Max: 0.644; CV Fold Min: 0.614; Official Test: -0.406 (Submission Error).</v>
      </c>
      <c r="H35" s="3">
        <v>-0.406</v>
      </c>
    </row>
    <row r="36">
      <c r="A36" s="1" t="str">
        <f>IFERROR(__xludf.DUMMYFUNCTION("""COMPUTED_VALUE"""),"CinC2020-162; Lightweight... Anti-aliased Blocks; Yu et al.")</f>
        <v>CinC2020-162; Lightweight... Anti-aliased Blocks; Yu et al.</v>
      </c>
      <c r="B36" s="1" t="str">
        <f>IFERROR(__xludf.DUMMYFUNCTION("""COMPUTED_VALUE"""),"Deep Learning (CNN)")</f>
        <v>Deep Learning (CNN)</v>
      </c>
      <c r="C36" s="1" t="str">
        <f>IFERROR(__xludf.DUMMYFUNCTION("""COMPUTED_VALUE"""),"ResNet-18 (modified for 1D)")</f>
        <v>ResNet-18 (modified for 1D)</v>
      </c>
      <c r="D36" s="1" t="str">
        <f>IFERROR(__xludf.DUMMYFUNCTION("""COMPUTED_VALUE"""),"4 pooled sources; 80 Hz downsampling; Undersampling (30% normal removed); Random erasing/shifting.")</f>
        <v>4 pooled sources; 80 Hz downsampling; Undersampling (30% normal removed); Random erasing/shifting.</v>
      </c>
      <c r="E36" s="1" t="str">
        <f>IFERROR(__xludf.DUMMYFUNCTION("""COMPUTED_VALUE"""),"Not in source.")</f>
        <v>Not in source.</v>
      </c>
      <c r="F36" s="1" t="str">
        <f>IFERROR(__xludf.DUMMYFUNCTION("""COMPUTED_VALUE"""),"High rate of False Negatives/Positives; Performance degrades with increased rhythm classes.")</f>
        <v>High rate of False Negatives/Positives; Performance degrades with increased rhythm classes.</v>
      </c>
      <c r="G36" s="1" t="str">
        <f>IFERROR(__xludf.DUMMYFUNCTION("""COMPUTED_VALUE"""),"Challenge Metric Score: 0.328 (Offline validation).")</f>
        <v>Challenge Metric Score: 0.328 (Offline validation).</v>
      </c>
      <c r="H36" s="3">
        <v>0.328</v>
      </c>
    </row>
    <row r="37">
      <c r="A37" s="1" t="str">
        <f>IFERROR(__xludf.DUMMYFUNCTION("""COMPUTED_VALUE"""),"CinC2020-202; Digital Biomarkers and Representation Learning; Assaraf et al.")</f>
        <v>CinC2020-202; Digital Biomarkers and Representation Learning; Assaraf et al.</v>
      </c>
      <c r="B37" s="1" t="str">
        <f>IFERROR(__xludf.DUMMYFUNCTION("""COMPUTED_VALUE"""),"Hybrid (FE + DL Ensemble)")</f>
        <v>Hybrid (FE + DL Ensemble)</v>
      </c>
      <c r="C37" s="1" t="str">
        <f>IFERROR(__xludf.DUMMYFUNCTION("""COMPUTED_VALUE"""),"RF (FE); ResNet-GRU (DL); LogReg (Ensemble)")</f>
        <v>RF (FE); ResNet-GRU (DL); LogReg (Ensemble)</v>
      </c>
      <c r="D37" s="1" t="str">
        <f>IFERROR(__xludf.DUMMYFUNCTION("""COMPUTED_VALUE"""),"53,730 recordings; bSQI quality check; 500Hz resampling; Butterworth/Notch filtering.")</f>
        <v>53,730 recordings; bSQI quality check; 500Hz resampling; Butterworth/Notch filtering.</v>
      </c>
      <c r="E37" s="1" t="str">
        <f>IFERROR(__xludf.DUMMYFUNCTION("""COMPUTED_VALUE"""),"Python; PyTorch; wavedet.")</f>
        <v>Python; PyTorch; wavedet.</v>
      </c>
      <c r="F37" s="1" t="str">
        <f>IFERROR(__xludf.DUMMYFUNCTION("""COMPUTED_VALUE"""),"Low performance on classes with &lt;500 examples; Technical difficulties prevented hidden test score.")</f>
        <v>Low performance on classes with &lt;500 examples; Technical difficulties prevented hidden test score.</v>
      </c>
      <c r="G37" s="1" t="str">
        <f>IFERROR(__xludf.DUMMYFUNCTION("""COMPUTED_VALUE"""),"Local Test Challenge Score: FE=0.65, DL=0.52, EL=0.66; CV: EL=0.66  $\pm$  0.03.")</f>
        <v>Local Test Challenge Score: FE=0.65, DL=0.52, EL=0.66; CV: EL=0.66  $\pm$  0.03.</v>
      </c>
      <c r="H37" s="3">
        <v>0.66</v>
      </c>
    </row>
    <row r="38">
      <c r="A38" s="1" t="str">
        <f>IFERROR(__xludf.DUMMYFUNCTION("""COMPUTED_VALUE"""),"CinC2020-435; ECG Morphological Decomposition...; García-Isla et al.")</f>
        <v>CinC2020-435; ECG Morphological Decomposition...; García-Isla et al.</v>
      </c>
      <c r="B38" s="1" t="str">
        <f>IFERROR(__xludf.DUMMYFUNCTION("""COMPUTED_VALUE"""),"Hybrid Ensemble / Template")</f>
        <v>Hybrid Ensemble / Template</v>
      </c>
      <c r="C38" s="1" t="str">
        <f>IFERROR(__xludf.DUMMYFUNCTION("""COMPUTED_VALUE"""),"SVM (Phase 1); Boosted Trees (Phase 2)")</f>
        <v>SVM (Phase 1); Boosted Trees (Phase 2)</v>
      </c>
      <c r="D38" s="1" t="str">
        <f>IFERROR(__xludf.DUMMYFUNCTION("""COMPUTED_VALUE"""),"6 databases; 43,101 labeled ECGs; Baseline correction via median filters; 35 Hz low-pass filter.")</f>
        <v>6 databases; 43,101 labeled ECGs; Baseline correction via median filters; 35 Hz low-pass filter.</v>
      </c>
      <c r="E38" s="1" t="str">
        <f>IFERROR(__xludf.DUMMYFUNCTION("""COMPUTED_VALUE"""),"Matlab 2020a; HRV toolbox; ECGkit.")</f>
        <v>Matlab 2020a; HRV toolbox; ECGkit.</v>
      </c>
      <c r="F38" s="1" t="str">
        <f>IFERROR(__xludf.DUMMYFUNCTION("""COMPUTED_VALUE"""),"Failed to distinguish rhythms with similar expressions (IRBBB vs RBBB); performance degraded at scale (24 classes).")</f>
        <v>Failed to distinguish rhythms with similar expressions (IRBBB vs RBBB); performance degraded at scale (24 classes).</v>
      </c>
      <c r="G38" s="1" t="str">
        <f>IFERROR(__xludf.DUMMYFUNCTION("""COMPUTED_VALUE"""),"Phase 1 Accuracy: 94.4%; Phase 2 Challenge Metric: 0.030; Phase 2 Accuracy: 15.0%.")</f>
        <v>Phase 1 Accuracy: 94.4%; Phase 2 Challenge Metric: 0.030; Phase 2 Accuracy: 15.0%.</v>
      </c>
      <c r="H38" s="3">
        <v>0.03</v>
      </c>
    </row>
    <row r="39">
      <c r="A39" s="1" t="str">
        <f>IFERROR(__xludf.DUMMYFUNCTION("""COMPUTED_VALUE"""),"CinC2020-424; Automatic Concurrent Arrhythmia Classification; Nankani et al.")</f>
        <v>CinC2020-424; Automatic Concurrent Arrhythmia Classification; Nankani et al.</v>
      </c>
      <c r="B39" s="1" t="str">
        <f>IFERROR(__xludf.DUMMYFUNCTION("""COMPUTED_VALUE"""),"Deep Learning (CNN)")</f>
        <v>Deep Learning (CNN)</v>
      </c>
      <c r="C39" s="1" t="str">
        <f>IFERROR(__xludf.DUMMYFUNCTION("""COMPUTED_VALUE"""),"Custom 8-layer ResNet")</f>
        <v>Custom 8-layer ResNet</v>
      </c>
      <c r="D39" s="1" t="str">
        <f>IFERROR(__xludf.DUMMYFUNCTION("""COMPUTED_VALUE"""),"6 databases; Homogenized to 2500 samples; 80/20 train-validation split; 27 labels (treated as single-label).")</f>
        <v>6 databases; Homogenized to 2500 samples; 80/20 train-validation split; 27 labels (treated as single-label).</v>
      </c>
      <c r="E39" s="1" t="str">
        <f>IFERROR(__xludf.DUMMYFUNCTION("""COMPUTED_VALUE"""),"Intel Xeon; 32 GB RAM; Titan Xp; Keras.")</f>
        <v>Intel Xeon; 32 GB RAM; Titan Xp; Keras.</v>
      </c>
      <c r="F39" s="1" t="str">
        <f>IFERROR(__xludf.DUMMYFUNCTION("""COMPUTED_VALUE"""),"Single-label prediction for multi-label problem; Predicted only 24 labels despite 27-label training.")</f>
        <v>Single-label prediction for multi-label problem; Predicted only 24 labels despite 27-label training.</v>
      </c>
      <c r="G39" s="1" t="str">
        <f>IFERROR(__xludf.DUMMYFUNCTION("""COMPUTED_VALUE"""),"Val Challenge: 0.305; Full Test Challenge: -0.035; Val AUROC: 0.825.")</f>
        <v>Val Challenge: 0.305; Full Test Challenge: -0.035; Val AUROC: 0.825.</v>
      </c>
      <c r="H39" s="3">
        <v>-0.035</v>
      </c>
    </row>
    <row r="40">
      <c r="A40" s="1" t="str">
        <f>IFERROR(__xludf.DUMMYFUNCTION("""COMPUTED_VALUE"""),"CinC2020-406; Classification... Ensemble ML Approach; Bodini et al.")</f>
        <v>CinC2020-406; Classification... Ensemble ML Approach; Bodini et al.</v>
      </c>
      <c r="B40" s="1" t="str">
        <f>IFERROR(__xludf.DUMMYFUNCTION("""COMPUTED_VALUE"""),"Hybrid Ensemble (CNN+FFNN)")</f>
        <v>Hybrid Ensemble (CNN+FFNN)</v>
      </c>
      <c r="C40" s="1" t="str">
        <f>IFERROR(__xludf.DUMMYFUNCTION("""COMPUTED_VALUE"""),"3 CNNs (P, QRS, T) + 1 FFNN + PVC Detector")</f>
        <v>3 CNNs (P, QRS, T) + 1 FFNN + PVC Detector</v>
      </c>
      <c r="D40" s="1" t="str">
        <f>IFERROR(__xludf.DUMMYFUNCTION("""COMPUTED_VALUE"""),"40,000+ calibration records; 500 Hz resampling; Filtered 0.67-30 Hz; Signal quality filtering.")</f>
        <v>40,000+ calibration records; 500 Hz resampling; Filtered 0.67-30 Hz; Signal quality filtering.</v>
      </c>
      <c r="E40" s="1" t="str">
        <f>IFERROR(__xludf.DUMMYFUNCTION("""COMPUTED_VALUE"""),"Not in source.")</f>
        <v>Not in source.</v>
      </c>
      <c r="F40" s="1" t="str">
        <f>IFERROR(__xludf.DUMMYFUNCTION("""COMPUTED_VALUE"""),"Low private test performance; Normal ECG detection via elimination led to high false positives.")</f>
        <v>Low private test performance; Normal ECG detection via elimination led to high false positives.</v>
      </c>
      <c r="G40" s="1" t="str">
        <f>IFERROR(__xludf.DUMMYFUNCTION("""COMPUTED_VALUE"""),"Val Score: 0.241; Private Test: -0.179; QRS recall for RBBB: 0.93.")</f>
        <v>Val Score: 0.241; Private Test: -0.179; QRS recall for RBBB: 0.93.</v>
      </c>
      <c r="H40" s="3">
        <v>-0.179</v>
      </c>
    </row>
    <row r="41">
      <c r="A41" s="1" t="str">
        <f>IFERROR(__xludf.DUMMYFUNCTION("""COMPUTED_VALUE"""),"2-D CNN for Arrhythmia Detection; He et al.")</f>
        <v>2-D CNN for Arrhythmia Detection; He et al.</v>
      </c>
      <c r="B41" s="1" t="str">
        <f>IFERROR(__xludf.DUMMYFUNCTION("""COMPUTED_VALUE"""),"Deep Learning (CNN)")</f>
        <v>Deep Learning (CNN)</v>
      </c>
      <c r="C41" s="1" t="str">
        <f>IFERROR(__xludf.DUMMYFUNCTION("""COMPUTED_VALUE"""),"Custom 2-D CNN (12 blocks)")</f>
        <v>Custom 2-D CNN (12 blocks)</v>
      </c>
      <c r="D41" s="1" t="str">
        <f>IFERROR(__xludf.DUMMYFUNCTION("""COMPUTED_VALUE"""),"43,101 subjects; 100 Hz downsampling; 0.05-20 Hz band-pass filter; fixed 10s segments.")</f>
        <v>43,101 subjects; 100 Hz downsampling; 0.05-20 Hz band-pass filter; fixed 10s segments.</v>
      </c>
      <c r="E41" s="1" t="str">
        <f>IFERROR(__xludf.DUMMYFUNCTION("""COMPUTED_VALUE"""),"Keras with TensorFlow backend.")</f>
        <v>Keras with TensorFlow backend.</v>
      </c>
      <c r="F41" s="1" t="str">
        <f>IFERROR(__xludf.DUMMYFUNCTION("""COMPUTED_VALUE"""),"Fixed 10s input length ignores intermittent rhythms; drastic drop on Hidden Undisclosed Set (0.194).")</f>
        <v>Fixed 10s input length ignores intermittent rhythms; drastic drop on Hidden Undisclosed Set (0.194).</v>
      </c>
      <c r="G41" s="1" t="str">
        <f>IFERROR(__xludf.DUMMYFUNCTION("""COMPUTED_VALUE"""),"CV Challenge: 0.621; Val: 0.616; Full Test: 0.370; Hidden CPSC Set: 0.758.")</f>
        <v>CV Challenge: 0.621; Val: 0.616; Full Test: 0.370; Hidden CPSC Set: 0.758.</v>
      </c>
      <c r="H41" s="3">
        <v>0.37</v>
      </c>
    </row>
    <row r="42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5" width="25.13"/>
    <col customWidth="1" min="6" max="6" width="2.63"/>
    <col customWidth="1" min="7" max="10" width="25.13"/>
    <col customWidth="1" min="11" max="11" width="2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5" t="s">
        <v>555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6" t="s">
        <v>556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7" t="s">
        <v>557</v>
      </c>
      <c r="F44" s="4"/>
      <c r="G44" s="7" t="s">
        <v>558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8" t="str">
        <f>IFERROR(__xludf.DUMMYFUNCTION("QUERY(Calc_Data!V2:W1000, ""SELECT V WHERE V IS NOT NULL AND V &lt;&gt; '' AND V &lt;&gt; 'Grand Total' ORDER BY W DESC LIMIT 5"", 0)"),"1000 Hz upsampling; 19s segments; Synthetic noise augmentation (Gaussian, baseline wander, pulses).")</f>
        <v>1000 Hz upsampling; 19s segments; Synthetic noise augmentation (Gaussian, baseline wander, pulses).</v>
      </c>
      <c r="E45" s="9">
        <f>IFERROR(__xludf.DUMMYFUNCTION("QUERY(Calc_Data!V2:W1000, ""SELECT W WHERE V IS NOT NULL AND V &lt;&gt; '' AND V &lt;&gt; 'Grand Total' ORDER BY W DESC LIMIT 5"", 0)"),1.0)</f>
        <v>1</v>
      </c>
      <c r="F45" s="4"/>
      <c r="G45" s="8" t="str">
        <f>IFERROR(__xludf.DUMMYFUNCTION("QUERY(Calc_Data!Z2:AA1000, ""SELECT Z WHERE Z IS NOT NULL AND Z &lt;&gt; '' AND Z &lt;&gt; 'Grand Total' ORDER BY AA DESC LIMIT 5"", 0)"),"CRNN cannot easily benefit from domain adjustments; Lacks segmentation for locating regions in long recordings.")</f>
        <v>CRNN cannot easily benefit from domain adjustments; Lacks segmentation for locating regions in long recordings.</v>
      </c>
      <c r="J45" s="9">
        <f>IFERROR(__xludf.DUMMYFUNCTION("QUERY(Calc_Data!Z2:AA1000, ""SELECT AA WHERE Z IS NOT NULL AND Z &lt;&gt; '' AND Z &lt;&gt; 'Grand Total' ORDER BY AA DESC LIMIT 5"", 0)"),1.0)</f>
        <v>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8" t="str">
        <f>IFERROR(__xludf.DUMMYFUNCTION("""COMPUTED_VALUE"""),"12-lead ECG; Kors transformation to XYZ leads; Dataset segmentation; 10-fold CV and leave-one-dataset-out.")</f>
        <v>12-lead ECG; Kors transformation to XYZ leads; Dataset segmentation; 10-fold CV and leave-one-dataset-out.</v>
      </c>
      <c r="E46" s="9">
        <f>IFERROR(__xludf.DUMMYFUNCTION("""COMPUTED_VALUE"""),1.0)</f>
        <v>1</v>
      </c>
      <c r="F46" s="4"/>
      <c r="G46" s="8" t="str">
        <f>IFERROR(__xludf.DUMMYFUNCTION("""COMPUTED_VALUE"""),"Data imbalance significantly impacted scores; Results only on training set; Unable to score on hidden test.")</f>
        <v>Data imbalance significantly impacted scores; Results only on training set; Unable to score on hidden test.</v>
      </c>
      <c r="J46" s="9">
        <f>IFERROR(__xludf.DUMMYFUNCTION("""COMPUTED_VALUE"""),1.0)</f>
        <v>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8" t="str">
        <f>IFERROR(__xludf.DUMMYFUNCTION("""COMPUTED_VALUE"""),"12-lead ECG; Three 1800-point windows; 7 lead groupings; 1238 features including TDA and RR intervals.")</f>
        <v>12-lead ECG; Three 1800-point windows; 7 lead groupings; 1238 features including TDA and RR intervals.</v>
      </c>
      <c r="E47" s="9">
        <f>IFERROR(__xludf.DUMMYFUNCTION("""COMPUTED_VALUE"""),1.0)</f>
        <v>1</v>
      </c>
      <c r="F47" s="4"/>
      <c r="G47" s="8" t="str">
        <f>IFERROR(__xludf.DUMMYFUNCTION("""COMPUTED_VALUE"""),"DL models (CNN/RNN) were prone to overfitting; Poor performance on PTB dataset ( $Score: -2.589$ ).")</f>
        <v>DL models (CNN/RNN) were prone to overfitting; Poor performance on PTB dataset ( $Score: -2.589$ ).</v>
      </c>
      <c r="J47" s="9">
        <f>IFERROR(__xludf.DUMMYFUNCTION("""COMPUTED_VALUE"""),1.0)</f>
        <v>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8" t="str">
        <f>IFERROR(__xludf.DUMMYFUNCTION("""COMPUTED_VALUE"""),"130,627 beats; 9 output classes (AF, 1AVB, LBBB, NSR, PAC, PVC, RBBB, STD, STE).")</f>
        <v>130,627 beats; 9 output classes (AF, 1AVB, LBBB, NSR, PAC, PVC, RBBB, STD, STE).</v>
      </c>
      <c r="E48" s="9">
        <f>IFERROR(__xludf.DUMMYFUNCTION("""COMPUTED_VALUE"""),1.0)</f>
        <v>1</v>
      </c>
      <c r="F48" s="4"/>
      <c r="G48" s="8" t="str">
        <f>IFERROR(__xludf.DUMMYFUNCTION("""COMPUTED_VALUE"""),"Excessive reliance on R-peak detection; Limited training (9 classes); Performance drop on hidden sets.")</f>
        <v>Excessive reliance on R-peak detection; Limited training (9 classes); Performance drop on hidden sets.</v>
      </c>
      <c r="J48" s="9">
        <f>IFERROR(__xludf.DUMMYFUNCTION("""COMPUTED_VALUE"""),1.0)</f>
        <v>1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8" t="str">
        <f>IFERROR(__xludf.DUMMYFUNCTION("""COMPUTED_VALUE"""),"24 target classes; 3rd order Butterworth/Notch filtering; 500 Hz resampling; 5-fold iterative stratification.")</f>
        <v>24 target classes; 3rd order Butterworth/Notch filtering; 500 Hz resampling; 5-fold iterative stratification.</v>
      </c>
      <c r="E49" s="9">
        <f>IFERROR(__xludf.DUMMYFUNCTION("""COMPUTED_VALUE"""),1.0)</f>
        <v>1</v>
      </c>
      <c r="F49" s="4"/>
      <c r="G49" s="8" t="str">
        <f>IFERROR(__xludf.DUMMYFUNCTION("""COMPUTED_VALUE"""),"Failed to converge on specific datasets; failed to submit Docker container for hidden test; 30s truncation.")</f>
        <v>Failed to converge on specific datasets; failed to submit Docker container for hidden test; 30s truncation.</v>
      </c>
      <c r="J49" s="9">
        <f>IFERROR(__xludf.DUMMYFUNCTION("""COMPUTED_VALUE"""),1.0)</f>
        <v>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mergeCells count="14">
    <mergeCell ref="B48:D48"/>
    <mergeCell ref="B49:D49"/>
    <mergeCell ref="G45:I45"/>
    <mergeCell ref="G46:I46"/>
    <mergeCell ref="G48:I48"/>
    <mergeCell ref="G49:I49"/>
    <mergeCell ref="B2:J3"/>
    <mergeCell ref="B5:J8"/>
    <mergeCell ref="B44:E44"/>
    <mergeCell ref="G44:J44"/>
    <mergeCell ref="B45:D45"/>
    <mergeCell ref="B46:D46"/>
    <mergeCell ref="B47:D47"/>
    <mergeCell ref="G47:I47"/>
  </mergeCells>
  <drawing r:id="rId1"/>
</worksheet>
</file>